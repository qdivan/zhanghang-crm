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tabRatio="510" activeTab="2"/>
  </bookViews>
  <sheets>
    <sheet name="管理制度、提成制度" sheetId="144" r:id="rId1"/>
    <sheet name="周" sheetId="3" r:id="rId2"/>
    <sheet name="周 (2)" sheetId="145" r:id="rId3"/>
  </sheets>
  <definedNames>
    <definedName name="_xlnm._FilterDatabase" localSheetId="1" hidden="1">周!$A$2:$L$68</definedName>
    <definedName name="_xlnm._FilterDatabase" localSheetId="2" hidden="1">'周 (2)'!$A$3:$P$68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<sst xmlns="http://schemas.openxmlformats.org/spreadsheetml/2006/main" count="581" uniqueCount="329">
  <si>
    <t>书面合同</t>
  </si>
  <si>
    <t>社保调整</t>
  </si>
  <si>
    <t>6部门管理制度</t>
  </si>
  <si>
    <t>服务标准（回应时限、标准用语）</t>
  </si>
  <si>
    <t>成功转化一个客户提成100</t>
  </si>
  <si>
    <t>成功注册一户提成60-120</t>
  </si>
  <si>
    <t xml:space="preserve"> </t>
  </si>
  <si>
    <t>再讨论</t>
  </si>
  <si>
    <t>清账</t>
  </si>
  <si>
    <t>全欠</t>
  </si>
  <si>
    <t>部分收费，灰色后面说明</t>
  </si>
  <si>
    <t>序号</t>
  </si>
  <si>
    <t>名称</t>
  </si>
  <si>
    <t>2025年收费</t>
  </si>
  <si>
    <t>周1</t>
  </si>
  <si>
    <t>安杰尔</t>
  </si>
  <si>
    <t>4800/6月17付（2025.1-2025.12）</t>
  </si>
  <si>
    <t xml:space="preserve">400/月，年报200，退税300 </t>
  </si>
  <si>
    <t>周2</t>
  </si>
  <si>
    <t>海恩诺</t>
  </si>
  <si>
    <t>记账加退税每月700，年底付</t>
  </si>
  <si>
    <t>周3</t>
  </si>
  <si>
    <t>雅适</t>
  </si>
  <si>
    <t>零申报200/月 年底付</t>
  </si>
  <si>
    <t>周4</t>
  </si>
  <si>
    <t>万乘包装制品</t>
  </si>
  <si>
    <t>2025.6月底前清了，7.27付的</t>
  </si>
  <si>
    <t>记账加退税每月500，半年后付费</t>
  </si>
  <si>
    <t>周5</t>
  </si>
  <si>
    <t>万乘</t>
  </si>
  <si>
    <t>周6</t>
  </si>
  <si>
    <t>万德发</t>
  </si>
  <si>
    <t>4800/2月18付（2025.1-2025.12）</t>
  </si>
  <si>
    <t>退税300，年报200账本100，预收记账费，退税年初收上年</t>
  </si>
  <si>
    <t>周7</t>
  </si>
  <si>
    <t>吉泰</t>
  </si>
  <si>
    <t>退税300，年报200账本100，预收记账费，退税年初收上</t>
  </si>
  <si>
    <t>周8</t>
  </si>
  <si>
    <t>亚卓贸易</t>
  </si>
  <si>
    <t>亚卓2024.7-2025.6记账300*12送年报</t>
  </si>
  <si>
    <t>2021.7月起300/月，退税300年报赠送</t>
  </si>
  <si>
    <t>可以在12月左右收一年</t>
  </si>
  <si>
    <t>周9</t>
  </si>
  <si>
    <t>百纳德</t>
  </si>
  <si>
    <t>25000/7月23付（2025.5-2026.4）</t>
  </si>
  <si>
    <t>记账费25000/年。预收</t>
  </si>
  <si>
    <t>周10</t>
  </si>
  <si>
    <t>百纳德（个体）</t>
  </si>
  <si>
    <t>核定，不收费</t>
  </si>
  <si>
    <t>周11</t>
  </si>
  <si>
    <t>冈田开瑞供应链12月 起报500/月</t>
  </si>
  <si>
    <t>24年12月19日付的25年全年</t>
  </si>
  <si>
    <t>账本100年报200，预收</t>
  </si>
  <si>
    <t>周12</t>
  </si>
  <si>
    <t>冈田开瑞</t>
  </si>
  <si>
    <t>周13</t>
  </si>
  <si>
    <t>龙舟</t>
  </si>
  <si>
    <t>周14</t>
  </si>
  <si>
    <t xml:space="preserve">龙猫 </t>
  </si>
  <si>
    <t>3600 25/2月7付（2024.1-2024.12）</t>
  </si>
  <si>
    <t>后付费</t>
  </si>
  <si>
    <t>周15</t>
  </si>
  <si>
    <t>百合</t>
  </si>
  <si>
    <t>25/1/21付24全年</t>
  </si>
  <si>
    <t>账本100年报赠送，后付</t>
  </si>
  <si>
    <t>周16</t>
  </si>
  <si>
    <t>和美婚恋</t>
  </si>
  <si>
    <t>周17</t>
  </si>
  <si>
    <t>海德和信</t>
  </si>
  <si>
    <t>账本100年报赠送，400/月含退税。欠4800+美美通年报200=5000</t>
  </si>
  <si>
    <t>周18</t>
  </si>
  <si>
    <t>大野</t>
  </si>
  <si>
    <t>2000/4月10付（2025.1-2025.12）</t>
  </si>
  <si>
    <t>2000/年预收</t>
  </si>
  <si>
    <t>周19</t>
  </si>
  <si>
    <t>2023.9.佳昌科技（大野新公司）</t>
  </si>
  <si>
    <t>8000/4月10付（2025.1-2025.12）</t>
  </si>
  <si>
    <t>8000/年预收</t>
  </si>
  <si>
    <t>周20</t>
  </si>
  <si>
    <t>华荷</t>
  </si>
  <si>
    <t>24/12月付的25年全年</t>
  </si>
  <si>
    <t>2400/年，预收</t>
  </si>
  <si>
    <t>周21</t>
  </si>
  <si>
    <t>丽莎</t>
  </si>
  <si>
    <t>2400/2月18付（2025.1-2025.12）</t>
  </si>
  <si>
    <t>周22</t>
  </si>
  <si>
    <t>晟坤纺织</t>
  </si>
  <si>
    <t>2/22付的上一年的。</t>
  </si>
  <si>
    <t>账本年报赠送，后付费。下半年开始催。  张会计负责要</t>
  </si>
  <si>
    <t>周23</t>
  </si>
  <si>
    <t>汇迈</t>
  </si>
  <si>
    <t>3600/7/29付（2025.1-2025.12）</t>
  </si>
  <si>
    <t>账本年报赠送，上半年收当年的。催收。应该 预付</t>
  </si>
  <si>
    <t>周24</t>
  </si>
  <si>
    <t>越达</t>
  </si>
  <si>
    <t>24年11月13日付的24年的</t>
  </si>
  <si>
    <t>账本0年报0，后付费</t>
  </si>
  <si>
    <t>周25</t>
  </si>
  <si>
    <t>智跑加运动</t>
  </si>
  <si>
    <t>11/19收2024.9-2025.8代理费2400</t>
  </si>
  <si>
    <t xml:space="preserve">账本0年报0，预收 </t>
  </si>
  <si>
    <t>周26</t>
  </si>
  <si>
    <t>信诺和</t>
  </si>
  <si>
    <t>24/8/12收24全年。</t>
  </si>
  <si>
    <t>账本0年报0，欠800审计费+12000都是25年的</t>
  </si>
  <si>
    <t>周27</t>
  </si>
  <si>
    <t>吉通（简凡科贸）</t>
  </si>
  <si>
    <t>2000/2/2/18付（2025.1-2025.12）</t>
  </si>
  <si>
    <r>
      <rPr>
        <sz val="10"/>
        <color indexed="8"/>
        <rFont val="宋体"/>
        <charset val="134"/>
      </rPr>
      <t>2</t>
    </r>
    <r>
      <rPr>
        <sz val="10"/>
        <color indexed="8"/>
        <rFont val="宋体"/>
        <charset val="134"/>
      </rPr>
      <t>000/年含年报</t>
    </r>
  </si>
  <si>
    <t>周28</t>
  </si>
  <si>
    <t>木兰岛 小规模</t>
  </si>
  <si>
    <t>25/4/1收木兰岛支付1500（2025.1-2025.5）</t>
  </si>
  <si>
    <t>木兰岛有业务了，半年付。欠2100属6-12月</t>
  </si>
  <si>
    <t>周29</t>
  </si>
  <si>
    <t>北方龙翔19.12</t>
  </si>
  <si>
    <t>2000/7/28付（2025.1-2025.12）</t>
  </si>
  <si>
    <t>减为2000/年，累计欠费3610，已收</t>
  </si>
  <si>
    <t>周30</t>
  </si>
  <si>
    <t>陆行者19.12</t>
  </si>
  <si>
    <t>3600/25/5/10付24.7-25.6月。（2025.7-2026.6）</t>
  </si>
  <si>
    <t>账本0年报0。催收一下。预收</t>
  </si>
  <si>
    <t>周31</t>
  </si>
  <si>
    <t>驰源20.1</t>
  </si>
  <si>
    <t>19800+7300/应收（2025.4-12）</t>
  </si>
  <si>
    <t>2200/月按季度预付，商标7300</t>
  </si>
  <si>
    <t>周32</t>
  </si>
  <si>
    <t>乐天3个新户</t>
  </si>
  <si>
    <t>可按季度或半年后付费，但欠25.1-6月6000，开票后催收</t>
  </si>
  <si>
    <t>周33</t>
  </si>
  <si>
    <t>朗宁</t>
  </si>
  <si>
    <t>4800/应收（2025.1-2025.12）</t>
  </si>
  <si>
    <t>账本100年报200退税300，结汇100/次</t>
  </si>
  <si>
    <t>周34</t>
  </si>
  <si>
    <t xml:space="preserve">天生源 </t>
  </si>
  <si>
    <t>2400/应收（2025.1-2025.12）</t>
  </si>
  <si>
    <t>账本0年报200，两家合计欠10400</t>
  </si>
  <si>
    <t>周35</t>
  </si>
  <si>
    <t>博妍</t>
  </si>
  <si>
    <t>2025/8/1收2024年三家7000</t>
  </si>
  <si>
    <t>账本0年报0</t>
  </si>
  <si>
    <t>周36</t>
  </si>
  <si>
    <t xml:space="preserve">博恒翌 </t>
  </si>
  <si>
    <t>账本0年报0        张会计负责要</t>
  </si>
  <si>
    <t>周37</t>
  </si>
  <si>
    <t>博慧佳视觉</t>
  </si>
  <si>
    <t>账本0年报0，三家合计欠费15000</t>
  </si>
  <si>
    <t>周38</t>
  </si>
  <si>
    <t xml:space="preserve">辉达锦业 </t>
  </si>
  <si>
    <t>4800/24/12/17付24年的。（2025.1-2025.12）</t>
  </si>
  <si>
    <t>周39</t>
  </si>
  <si>
    <t>肖东燕 个体</t>
  </si>
  <si>
    <t>1200/ 月 付（2025.1-2025.12）</t>
  </si>
  <si>
    <t>查账，做账。两个一起要账</t>
  </si>
  <si>
    <t>周40</t>
  </si>
  <si>
    <t>叶荣钢铁</t>
  </si>
  <si>
    <t>7/21收叶荣,结清25年上半年费用</t>
  </si>
  <si>
    <t>全零申报。200/月，25年下半年全欠费</t>
  </si>
  <si>
    <t>周41</t>
  </si>
  <si>
    <t>尚之居装饰 周会计朋友</t>
  </si>
  <si>
    <t>7月要注销，欠费含 注销共1520元</t>
  </si>
  <si>
    <t>周42</t>
  </si>
  <si>
    <t>智泽优华个体   王秀芬</t>
  </si>
  <si>
    <t>未付25年全年</t>
  </si>
  <si>
    <t>等看要不要注销</t>
  </si>
  <si>
    <t>周43</t>
  </si>
  <si>
    <t>筑创优汇 小规模 王秀芬</t>
  </si>
  <si>
    <t>3600/4月29付（2025.1-2025.12）</t>
  </si>
  <si>
    <t>周44</t>
  </si>
  <si>
    <t>久门</t>
  </si>
  <si>
    <t>2/17收了25年全年的</t>
  </si>
  <si>
    <t>预收，退税300/月后收</t>
  </si>
  <si>
    <t>周45</t>
  </si>
  <si>
    <t>迈威特</t>
  </si>
  <si>
    <t>4800/2月21付（2025.1-2025.12）</t>
  </si>
  <si>
    <t>周46</t>
  </si>
  <si>
    <t>迈威特 个体（琳悦顺）</t>
  </si>
  <si>
    <t>1200/2月21付（2025.1-2025.12）</t>
  </si>
  <si>
    <t>个体</t>
  </si>
  <si>
    <t>周47</t>
  </si>
  <si>
    <t>莱泰可阀门</t>
  </si>
  <si>
    <t>周48</t>
  </si>
  <si>
    <t>春放</t>
  </si>
  <si>
    <t>25/2/18付24年全年</t>
  </si>
  <si>
    <t>外贸，后付费。含退税不另收了</t>
  </si>
  <si>
    <t>周49</t>
  </si>
  <si>
    <t>熙泽刘肖肖</t>
  </si>
  <si>
    <t>4800/3月5付（2025.1-2025.12）</t>
  </si>
  <si>
    <t>外贸，退税300/月后收。现在有预收款1200元</t>
  </si>
  <si>
    <t>周50</t>
  </si>
  <si>
    <t xml:space="preserve">生乐园 </t>
  </si>
  <si>
    <t>6000/2025/8/1付25年全年。</t>
  </si>
  <si>
    <t>年底后付费。6000未收</t>
  </si>
  <si>
    <t>周51</t>
  </si>
  <si>
    <t xml:space="preserve">银特  </t>
  </si>
  <si>
    <t>7200/2月26付（2025.1-2025.12）</t>
  </si>
  <si>
    <t>一般人，预收</t>
  </si>
  <si>
    <t>周52</t>
  </si>
  <si>
    <t>祥绵裕丰国际贸易</t>
  </si>
  <si>
    <t>4800/2月26付（2025.1-2025.12）</t>
  </si>
  <si>
    <t>周53</t>
  </si>
  <si>
    <t>沃奇</t>
  </si>
  <si>
    <t>预付费不开票</t>
  </si>
  <si>
    <t>历史欠费12900，现在欠25.7-12月600</t>
  </si>
  <si>
    <t>周54</t>
  </si>
  <si>
    <t>A0309 清沐拓维</t>
  </si>
  <si>
    <t>2400/5月6付（2025.7-2026.6）</t>
  </si>
  <si>
    <t>7月开始收费。200/月</t>
  </si>
  <si>
    <t>周55</t>
  </si>
  <si>
    <t>A0313 海联沃锐</t>
  </si>
  <si>
    <t>9600/6月7付/7/30付（2025.6-2026.5）</t>
  </si>
  <si>
    <t>无业务3600有业务9600，6月起收费，欠6000补的费用</t>
  </si>
  <si>
    <t>周56</t>
  </si>
  <si>
    <t>M1003 玛尔斯新材料</t>
  </si>
  <si>
    <t>25/6/18付清了25.6-26.5月0申报2400</t>
  </si>
  <si>
    <t>无业务2400有业务9600，预收。现在还没业务0申报</t>
  </si>
  <si>
    <t>周57</t>
  </si>
  <si>
    <t>A0314 沐航工业科技</t>
  </si>
  <si>
    <t>2025.6-2026.5，已预收1500</t>
  </si>
  <si>
    <t>无业务2400有业务9600，6月起收费，元旦以后再收</t>
  </si>
  <si>
    <t>周58</t>
  </si>
  <si>
    <t>M1010 木烯新材料</t>
  </si>
  <si>
    <t>25.6.30收25.7-26.6月0申报3600</t>
  </si>
  <si>
    <t>无业务3600有业务9600，预收</t>
  </si>
  <si>
    <t>周59</t>
  </si>
  <si>
    <t>M1009 可贺供应链</t>
  </si>
  <si>
    <t xml:space="preserve">欠2025.7-2026.6 </t>
  </si>
  <si>
    <t>周60</t>
  </si>
  <si>
    <t>M1009-2卓迅控股</t>
  </si>
  <si>
    <t>1200/年，预收</t>
  </si>
  <si>
    <t>周61</t>
  </si>
  <si>
    <t>M1009-3寰匠工具</t>
  </si>
  <si>
    <t>7.7收到2025.7-2026.6费用，3个公司3600</t>
  </si>
  <si>
    <t>周62</t>
  </si>
  <si>
    <t>M1013希普化工</t>
  </si>
  <si>
    <t>按零申报已收3600（2025.07-2026.06）</t>
  </si>
  <si>
    <t>零申报3600，有退税9600 预收</t>
  </si>
  <si>
    <t>周63</t>
  </si>
  <si>
    <t>A030苏特尔电器</t>
  </si>
  <si>
    <t>已收3600（2025.08-2026.07）</t>
  </si>
  <si>
    <t>标灰的两个账套不在系统中。不单收费</t>
  </si>
  <si>
    <t>苏特尔记账费未记录？</t>
  </si>
  <si>
    <t>总费用</t>
  </si>
  <si>
    <t>月费用</t>
  </si>
  <si>
    <t>代账周期</t>
  </si>
  <si>
    <t>到期月</t>
  </si>
  <si>
    <t>付款方式</t>
  </si>
  <si>
    <t>月费</t>
  </si>
  <si>
    <t>4800/6月17收（2025.1-2025.12）</t>
  </si>
  <si>
    <t>预收</t>
  </si>
  <si>
    <t>2026/1月8收（2025.1-2025.12）</t>
  </si>
  <si>
    <t>年底收</t>
  </si>
  <si>
    <t>2025/12/29收（2025.7-2025.12)</t>
  </si>
  <si>
    <t>半年付费</t>
  </si>
  <si>
    <t>2025/2/18收（2025.1-2025.12）</t>
  </si>
  <si>
    <t>2026/1/5收（2025.7-2026.6）</t>
  </si>
  <si>
    <t>12月左右收一年</t>
  </si>
  <si>
    <t>2021.7月起300/月，退税300年报赠送，送年报</t>
  </si>
  <si>
    <t>2025/7/23收（2025.5-2026.4）</t>
  </si>
  <si>
    <t>记账费25000/年。预收  稳岗补贴未收767</t>
  </si>
  <si>
    <t xml:space="preserve">  </t>
  </si>
  <si>
    <t>冈田开瑞供应链</t>
  </si>
  <si>
    <t>2024/12/19收（2025.1-2025.12）</t>
  </si>
  <si>
    <t>账本100年报200，预收    1月份转走500</t>
  </si>
  <si>
    <t>冈田开瑞物流</t>
  </si>
  <si>
    <t>2025/12/31收（2026.1-2026.12）</t>
  </si>
  <si>
    <t>上海龙舟分公司</t>
  </si>
  <si>
    <t>2025/12/26收（2025.1-2025.12）</t>
  </si>
  <si>
    <t xml:space="preserve">后付费   </t>
  </si>
  <si>
    <t>2025/12/31收（2025.1-2025.12）</t>
  </si>
  <si>
    <t>账本100年报赠送，后付  2500</t>
  </si>
  <si>
    <t xml:space="preserve">账本100年报赠送，后付  2500      </t>
  </si>
  <si>
    <t>账本100年报赠送，400/月含退税。</t>
  </si>
  <si>
    <t>2026/2/9收（2026.1-2026.12）</t>
  </si>
  <si>
    <t xml:space="preserve">8000/年预收 </t>
  </si>
  <si>
    <t>2026/1/15收（2026.1-2026.12）</t>
  </si>
  <si>
    <t>2026/1/21收（2026.1-2026.12）</t>
  </si>
  <si>
    <t>2025/2/22收（2024.1-2024.12）</t>
  </si>
  <si>
    <t>2025/12/30收（2026.1-2026.12）</t>
  </si>
  <si>
    <t>账本年报赠送，催收。应该 预付     稳岗补贴200元</t>
  </si>
  <si>
    <t>2025/12/30收（2025.1-2025.12）</t>
  </si>
  <si>
    <t xml:space="preserve">账本0年报0，去掉提成后付费 </t>
  </si>
  <si>
    <t>2025/12/30收（2025.9-2026.8）</t>
  </si>
  <si>
    <t>2024/8/12收（2024.1-2024.12）</t>
  </si>
  <si>
    <t>有钱就收</t>
  </si>
  <si>
    <t>账本0年报0，欠800审计费+12000都是25年的  稳岗补贴600元</t>
  </si>
  <si>
    <t>2026/1/19收2100（2025.6-2025.12）</t>
  </si>
  <si>
    <t>半年付</t>
  </si>
  <si>
    <r>
      <rPr>
        <sz val="10"/>
        <color rgb="FF000000"/>
        <rFont val="宋体"/>
        <charset val="134"/>
      </rPr>
      <t>木兰岛有业务了，半年付。</t>
    </r>
    <r>
      <rPr>
        <sz val="10"/>
        <color rgb="FFFF0000"/>
        <rFont val="宋体"/>
        <charset val="134"/>
      </rPr>
      <t>欠2100属6-12月</t>
    </r>
  </si>
  <si>
    <t>2000/7/28收（2025.1-2025.12）</t>
  </si>
  <si>
    <t>减为2000/年，    下半年注销，2300注销费已收</t>
  </si>
  <si>
    <t>2025/11/27收（2025.7-2026.6）</t>
  </si>
  <si>
    <t>账本0年报0。</t>
  </si>
  <si>
    <t>2200/月按季度预付，  催收10-12 下月付</t>
  </si>
  <si>
    <t xml:space="preserve">  香港公司海立星 无运营审计费用3000   +4季度 6600=9600</t>
  </si>
  <si>
    <t>2026/2/12收（2025.1-2025.12）1.2万</t>
  </si>
  <si>
    <t>看情况</t>
  </si>
  <si>
    <t>讲价三个公司一年5400</t>
  </si>
  <si>
    <t>8/28/应收（2025.1-2025.12）</t>
  </si>
  <si>
    <t>账本100年报200退税300，结汇100/次    加上外出业务1200</t>
  </si>
  <si>
    <t>后收</t>
  </si>
  <si>
    <t>账本0年报0        张会计负责要     稳岗补贴三个公司700元</t>
  </si>
  <si>
    <t>2025/12/31收（2025.1-2024.8）</t>
  </si>
  <si>
    <t>后4个月朋友付</t>
  </si>
  <si>
    <t>账本0年报0  1月要转走</t>
  </si>
  <si>
    <t>一起收</t>
  </si>
  <si>
    <t>2025/12/30收（2025.7-2025.12）</t>
  </si>
  <si>
    <t>半年收</t>
  </si>
  <si>
    <t>200/月， 400/月  根据每月业务订价格</t>
  </si>
  <si>
    <t>已收（2024.1-2024.12）</t>
  </si>
  <si>
    <t>2025/4月29收（2025.1-2025.12）</t>
  </si>
  <si>
    <t>2025/2/17收（2025.1-2025.12）</t>
  </si>
  <si>
    <t>2025/2月21付（2025.1-2025.12）</t>
  </si>
  <si>
    <t>崃泰可阀门</t>
  </si>
  <si>
    <t>2025/2月18付（2025.1-2025.12）</t>
  </si>
  <si>
    <t>2025/2/18收（2024.1-2024.12）</t>
  </si>
  <si>
    <t>外贸，后付费。含退税不另收了  减资收费1000元 补办电子口岸卡600</t>
  </si>
  <si>
    <t>2025/3月5收（2025.1-2025.12）</t>
  </si>
  <si>
    <t>外贸，退税300/月后收。现在有预收款1200元   稳岗补贴200元</t>
  </si>
  <si>
    <t>2025/8/1收（2025.1-2025.12）</t>
  </si>
  <si>
    <t>年底，后付费。6000未收</t>
  </si>
  <si>
    <t>2025/12/26收（2026.1-2026.6）预付费不开票</t>
  </si>
  <si>
    <t>历史欠费12900， 预付费不开票</t>
  </si>
  <si>
    <t>2025/5月6收（2025.7-2026.6）</t>
  </si>
  <si>
    <t>2025/6/18收（2025.6-2026.5）</t>
  </si>
  <si>
    <t>2025/6/30收（2025.7-2026.6）</t>
  </si>
  <si>
    <t>2026/1/9收（2026.1-2026.12）</t>
  </si>
  <si>
    <t xml:space="preserve">无业务3600有业务9600，预收   11月份有业务退税 </t>
  </si>
  <si>
    <t xml:space="preserve">  12月份有业务退税</t>
  </si>
  <si>
    <t>S5320凯纳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</si>
</sst>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0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0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57" fontId="1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7" fontId="0" fillId="2" borderId="0" xfId="0" applyNumberFormat="1" applyFill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58" fontId="0" fillId="4" borderId="0" xfId="0" applyNumberFormat="1" applyFill="1">
      <alignment vertical="center"/>
    </xf>
    <xf numFmtId="0" fontId="1" fillId="10" borderId="1" xfId="0" applyFont="1" applyFill="1" applyBorder="1" applyAlignment="1">
      <alignment horizontal="center" vertical="center" wrapText="1"/>
    </xf>
    <xf numFmtId="58" fontId="0" fillId="3" borderId="0" xfId="0" applyNumberFormat="1" applyFill="1">
      <alignment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0" fontId="1" fillId="4" borderId="0" xfId="0" applyFont="1" applyFill="1" applyAlignment="1">
      <alignment horizontal="left"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0" xfId="0" applyFont="1" applyFill="1">
      <alignment vertical="center"/>
    </xf>
    <xf numFmtId="0" fontId="2" fillId="4" borderId="0" xfId="0" applyFont="1" applyFill="1">
      <alignment vertical="center"/>
    </xf>
    <xf numFmtId="0" fontId="1" fillId="8" borderId="1" xfId="0" applyFont="1" applyFill="1" applyBorder="1">
      <alignment vertical="center"/>
    </xf>
    <xf numFmtId="0" fontId="1" fillId="11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1" fillId="9" borderId="1" xfId="0" applyFont="1" applyFill="1" applyBorder="1">
      <alignment vertical="center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0" xfId="0" applyFont="1" applyFill="1">
      <alignment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5" fillId="6" borderId="0" xfId="0" applyFont="1" applyFill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8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vertical="center" wrapText="1"/>
    </xf>
    <xf numFmtId="57" fontId="1" fillId="0" borderId="1" xfId="0" applyNumberFormat="1" applyFont="1" applyBorder="1" applyAlignment="1">
      <alignment horizontal="center" vertical="center" wrapText="1"/>
    </xf>
    <xf numFmtId="0" fontId="0" fillId="10" borderId="0" xfId="0" applyFill="1">
      <alignment vertical="center"/>
    </xf>
    <xf numFmtId="0" fontId="0" fillId="12" borderId="0" xfId="0" applyFill="1">
      <alignment vertical="center"/>
    </xf>
    <xf numFmtId="57" fontId="1" fillId="0" borderId="0" xfId="0" applyNumberFormat="1" applyFont="1" applyAlignment="1">
      <alignment horizontal="center" vertical="center" wrapText="1"/>
    </xf>
    <xf numFmtId="17" fontId="0" fillId="0" borderId="0" xfId="0" applyNumberForma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58" fontId="0" fillId="6" borderId="0" xfId="0" applyNumberFormat="1" applyFill="1">
      <alignment vertical="center"/>
    </xf>
    <xf numFmtId="0" fontId="1" fillId="10" borderId="0" xfId="0" applyFont="1" applyFill="1" applyAlignment="1">
      <alignment vertical="center" wrapText="1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8" borderId="0" xfId="0" applyFont="1" applyFill="1" applyAlignment="1">
      <alignment vertical="center"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vertical="center" wrapText="1"/>
    </xf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57" fontId="1" fillId="0" borderId="0" xfId="0" applyNumberFormat="1" applyFont="1" applyAlignment="1">
      <alignment vertical="center" wrapText="1"/>
    </xf>
    <xf numFmtId="0" fontId="1" fillId="12" borderId="0" xfId="0" applyFont="1" applyFill="1">
      <alignment vertical="center"/>
    </xf>
    <xf numFmtId="0" fontId="1" fillId="1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1" fontId="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5" sqref="A15"/>
    </sheetView>
  </sheetViews>
  <sheetFormatPr defaultColWidth="9" defaultRowHeight="14.25" outlineLevelCol="7"/>
  <cols>
    <col min="1" max="1" width="36.875" customWidth="1"/>
  </cols>
  <sheetData>
    <row r="1" spans="1:8">
      <c r="B1" s="99"/>
      <c r="D1" s="100"/>
      <c r="E1" s="99"/>
      <c r="F1" s="99"/>
      <c r="G1" s="99"/>
      <c r="H1" s="99"/>
    </row>
    <row r="2" spans="1:8">
      <c r="A2" s="99" t="s">
        <v>0</v>
      </c>
      <c r="B2" s="99"/>
      <c r="D2" s="100"/>
      <c r="E2" s="99"/>
      <c r="F2" s="99"/>
      <c r="G2" s="99"/>
      <c r="H2" s="99"/>
    </row>
    <row r="3" spans="1:8">
      <c r="A3" s="99" t="s">
        <v>1</v>
      </c>
      <c r="B3" s="99"/>
      <c r="D3" s="100"/>
      <c r="E3" s="99"/>
      <c r="F3" s="99"/>
      <c r="G3" s="99"/>
      <c r="H3" s="99"/>
    </row>
    <row r="4" spans="1:8">
      <c r="A4" s="99" t="s">
        <v>2</v>
      </c>
      <c r="B4" s="99"/>
      <c r="D4" s="100"/>
      <c r="E4" s="99"/>
      <c r="F4" s="99"/>
      <c r="G4" s="99"/>
      <c r="H4" s="99"/>
    </row>
    <row r="5" spans="1:8">
      <c r="A5" s="99" t="s">
        <v>3</v>
      </c>
      <c r="B5" s="99"/>
      <c r="D5" s="100"/>
      <c r="E5" s="99"/>
      <c r="F5" s="99"/>
      <c r="G5" s="99"/>
      <c r="H5" s="99"/>
    </row>
    <row r="6" spans="1:8">
      <c r="B6" s="99"/>
      <c r="D6" s="100"/>
      <c r="E6" s="99"/>
      <c r="F6" s="99"/>
      <c r="G6" s="99"/>
      <c r="H6" s="99"/>
    </row>
    <row r="7" spans="1:8">
      <c r="A7" s="99"/>
      <c r="B7" s="99"/>
      <c r="D7" s="100"/>
      <c r="E7" s="99"/>
      <c r="F7" s="99"/>
      <c r="G7" s="99"/>
      <c r="H7" s="99"/>
    </row>
    <row r="8" spans="1:8">
      <c r="A8" t="s">
        <v>4</v>
      </c>
      <c r="B8" s="99"/>
      <c r="D8" s="100"/>
      <c r="E8" s="99"/>
      <c r="F8" s="99"/>
      <c r="G8" s="99"/>
      <c r="H8" s="99"/>
    </row>
    <row r="9" spans="1:8">
      <c r="A9" t="s">
        <v>5</v>
      </c>
      <c r="B9" s="99"/>
      <c r="C9" t="s">
        <v>6</v>
      </c>
      <c r="D9" s="100"/>
      <c r="E9" s="99"/>
      <c r="F9" s="99"/>
      <c r="G9" s="99"/>
      <c r="H9" s="99"/>
    </row>
    <row r="10" spans="1:8">
      <c r="A10" t="s">
        <v>7</v>
      </c>
      <c r="B10" s="99"/>
      <c r="D10" s="100"/>
      <c r="E10" s="99"/>
      <c r="F10" s="99"/>
      <c r="G10" s="99"/>
      <c r="H10" s="99"/>
    </row>
    <row r="11" spans="1:8">
      <c r="B11" s="99"/>
      <c r="C11" t="s">
        <v>6</v>
      </c>
      <c r="D11" s="100"/>
      <c r="E11" s="99"/>
      <c r="F11" s="99"/>
      <c r="G11" s="99"/>
      <c r="H11" s="99"/>
    </row>
    <row r="12" spans="1:8">
      <c r="B12" s="99"/>
      <c r="D12" s="100"/>
      <c r="E12" s="99"/>
      <c r="F12" s="99"/>
      <c r="G12" s="99"/>
      <c r="H12" s="99"/>
    </row>
    <row r="13" spans="1:8">
      <c r="B13" s="99"/>
      <c r="D13" s="101"/>
      <c r="E13" s="99"/>
      <c r="F13" s="99"/>
      <c r="G13" s="99"/>
      <c r="H13" s="99"/>
    </row>
    <row r="14" spans="1:8">
      <c r="B14" s="99"/>
      <c r="D14" s="101"/>
      <c r="E14" s="99"/>
      <c r="F14" s="99"/>
      <c r="G14" s="99"/>
      <c r="H14" s="99"/>
    </row>
    <row r="15" spans="1:8">
      <c r="B15" s="99"/>
      <c r="D15" s="101"/>
      <c r="E15" s="99"/>
      <c r="F15" s="99"/>
      <c r="G15" s="99"/>
      <c r="H15" s="99"/>
    </row>
    <row r="16" spans="1:8">
      <c r="D16" s="101"/>
      <c r="G16" s="10"/>
      <c r="H16" s="10"/>
    </row>
    <row r="17" spans="2:8">
      <c r="B17" s="102"/>
      <c r="C17" s="103"/>
      <c r="D17" s="101"/>
      <c r="G17" s="10"/>
      <c r="H17" s="104"/>
    </row>
    <row r="18" spans="2:8">
      <c r="B18" s="100"/>
      <c r="C18" s="100"/>
      <c r="D18" s="101"/>
      <c r="E18" s="100"/>
      <c r="F18" s="100"/>
      <c r="G18" s="104"/>
      <c r="H18" s="104"/>
    </row>
    <row r="19" spans="2:8">
      <c r="D19" s="101"/>
      <c r="E19" s="105"/>
      <c r="G19" s="104"/>
      <c r="H19" s="104"/>
    </row>
    <row r="20" spans="2:8">
      <c r="D20" s="101"/>
      <c r="E20" s="105"/>
      <c r="G20" s="104"/>
      <c r="H20" s="10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1"/>
  <sheetViews>
    <sheetView showOutlineSymbols="0" workbookViewId="0">
      <pane xSplit="6" ySplit="2" topLeftCell="G51" activePane="bottomRight" state="frozen"/>
      <selection/>
      <selection pane="topRight"/>
      <selection pane="bottomLeft"/>
      <selection pane="bottomRight" activeCell="E70" sqref="E70"/>
    </sheetView>
  </sheetViews>
  <sheetFormatPr defaultColWidth="8.75" defaultRowHeight="19.05" customHeight="1"/>
  <cols>
    <col min="1" max="1" width="6.06666666666667" style="9" customWidth="1"/>
    <col min="2" max="2" width="22.8166666666667" style="9" customWidth="1"/>
    <col min="3" max="3" width="10" customWidth="1"/>
    <col min="4" max="5" width="10.6916666666667" customWidth="1"/>
    <col min="6" max="6" width="32" style="10" customWidth="1"/>
    <col min="7" max="7" width="42.375" style="9" customWidth="1"/>
    <col min="8" max="8" width="8.75" style="9"/>
    <col min="11" max="11" width="35.75" customWidth="1"/>
  </cols>
  <sheetData>
    <row r="1" customHeight="1" spans="1:11">
      <c r="D1" s="2" t="s">
        <v>8</v>
      </c>
      <c r="E1" s="2"/>
      <c r="F1" s="11" t="s">
        <v>9</v>
      </c>
      <c r="G1" s="12" t="s">
        <v>10</v>
      </c>
    </row>
    <row r="2" customHeight="1" spans="1:11">
      <c r="A2" s="9" t="s">
        <v>11</v>
      </c>
      <c r="B2" s="9" t="s">
        <v>12</v>
      </c>
      <c r="C2" s="80">
        <v>45809</v>
      </c>
      <c r="D2" s="80">
        <v>45839</v>
      </c>
      <c r="E2" s="80">
        <v>45870</v>
      </c>
      <c r="F2" s="80" t="s">
        <v>13</v>
      </c>
      <c r="K2" s="81"/>
    </row>
    <row r="3" s="2" customFormat="1" customHeight="1" spans="1:11">
      <c r="A3" s="26" t="s">
        <v>14</v>
      </c>
      <c r="B3" s="82" t="s">
        <v>15</v>
      </c>
      <c r="C3" s="83">
        <v>400</v>
      </c>
      <c r="D3" s="83">
        <v>400</v>
      </c>
      <c r="E3" s="83">
        <v>400</v>
      </c>
      <c r="F3" s="83" t="s">
        <v>16</v>
      </c>
      <c r="G3" s="26" t="s">
        <v>17</v>
      </c>
      <c r="H3" s="26"/>
    </row>
    <row r="4" s="5" customFormat="1" customHeight="1" spans="1:11">
      <c r="A4" s="44" t="s">
        <v>18</v>
      </c>
      <c r="B4" s="84" t="s">
        <v>19</v>
      </c>
      <c r="C4" s="11">
        <v>300</v>
      </c>
      <c r="D4" s="11">
        <v>700</v>
      </c>
      <c r="E4" s="11">
        <v>700</v>
      </c>
      <c r="F4" s="11"/>
      <c r="G4" s="44" t="s">
        <v>20</v>
      </c>
      <c r="H4" s="44">
        <f>900*12</f>
        <v>10800</v>
      </c>
      <c r="K4" s="85"/>
    </row>
    <row r="5" s="5" customFormat="1" customHeight="1" spans="1:11">
      <c r="A5" s="44" t="s">
        <v>21</v>
      </c>
      <c r="B5" s="84" t="s">
        <v>22</v>
      </c>
      <c r="C5" s="11">
        <v>300</v>
      </c>
      <c r="D5" s="11">
        <v>200</v>
      </c>
      <c r="E5" s="11">
        <v>200</v>
      </c>
      <c r="F5" s="11"/>
      <c r="G5" s="44" t="s">
        <v>23</v>
      </c>
      <c r="H5" s="44"/>
      <c r="K5" s="85"/>
    </row>
    <row r="6" s="78" customFormat="1" customHeight="1" spans="1:11">
      <c r="A6" s="12" t="s">
        <v>24</v>
      </c>
      <c r="B6" s="86" t="s">
        <v>25</v>
      </c>
      <c r="C6" s="87">
        <v>500</v>
      </c>
      <c r="D6" s="87">
        <v>500</v>
      </c>
      <c r="E6" s="87">
        <v>500</v>
      </c>
      <c r="F6" s="87" t="s">
        <v>26</v>
      </c>
      <c r="G6" s="12" t="s">
        <v>27</v>
      </c>
      <c r="H6" s="12"/>
    </row>
    <row r="7" s="78" customFormat="1" customHeight="1" spans="1:11">
      <c r="A7" s="12" t="s">
        <v>28</v>
      </c>
      <c r="B7" s="86" t="s">
        <v>29</v>
      </c>
      <c r="C7" s="87">
        <v>500</v>
      </c>
      <c r="D7" s="87">
        <v>500</v>
      </c>
      <c r="E7" s="87">
        <v>500</v>
      </c>
      <c r="F7" s="87" t="s">
        <v>26</v>
      </c>
      <c r="G7" s="12" t="s">
        <v>27</v>
      </c>
      <c r="H7" s="12"/>
    </row>
    <row r="8" s="2" customFormat="1" customHeight="1" spans="1:11">
      <c r="A8" s="26" t="s">
        <v>30</v>
      </c>
      <c r="B8" s="82" t="s">
        <v>31</v>
      </c>
      <c r="C8" s="83">
        <v>500</v>
      </c>
      <c r="D8" s="83">
        <v>500</v>
      </c>
      <c r="E8" s="83">
        <v>500</v>
      </c>
      <c r="F8" s="83" t="s">
        <v>32</v>
      </c>
      <c r="G8" s="26" t="s">
        <v>33</v>
      </c>
      <c r="H8" s="26"/>
    </row>
    <row r="9" s="2" customFormat="1" customHeight="1" spans="1:11">
      <c r="A9" s="26" t="s">
        <v>34</v>
      </c>
      <c r="B9" s="82" t="s">
        <v>35</v>
      </c>
      <c r="C9" s="83">
        <v>400</v>
      </c>
      <c r="D9" s="83">
        <v>400</v>
      </c>
      <c r="E9" s="83">
        <v>400</v>
      </c>
      <c r="F9" s="83" t="s">
        <v>32</v>
      </c>
      <c r="G9" s="26" t="s">
        <v>36</v>
      </c>
      <c r="H9" s="26"/>
      <c r="K9" s="34"/>
    </row>
    <row r="10" s="78" customFormat="1" customHeight="1" spans="1:11">
      <c r="A10" s="12" t="s">
        <v>37</v>
      </c>
      <c r="B10" s="86" t="s">
        <v>38</v>
      </c>
      <c r="C10" s="87">
        <v>300</v>
      </c>
      <c r="D10" s="87">
        <v>300</v>
      </c>
      <c r="E10" s="87">
        <v>300</v>
      </c>
      <c r="F10" s="87" t="s">
        <v>39</v>
      </c>
      <c r="G10" s="12" t="s">
        <v>40</v>
      </c>
      <c r="H10" s="12" t="s">
        <v>41</v>
      </c>
      <c r="I10" s="12" t="s">
        <v>41</v>
      </c>
    </row>
    <row r="11" s="2" customFormat="1" customHeight="1" spans="1:11">
      <c r="A11" s="26" t="s">
        <v>42</v>
      </c>
      <c r="B11" s="82" t="s">
        <v>43</v>
      </c>
      <c r="C11" s="83">
        <v>2083</v>
      </c>
      <c r="D11" s="83">
        <v>2083</v>
      </c>
      <c r="E11" s="83">
        <v>2083</v>
      </c>
      <c r="F11" s="83" t="s">
        <v>44</v>
      </c>
      <c r="G11" s="26" t="s">
        <v>45</v>
      </c>
      <c r="H11" s="26"/>
    </row>
    <row r="12" s="2" customFormat="1" customHeight="1" spans="1:11">
      <c r="A12" s="26" t="s">
        <v>46</v>
      </c>
      <c r="B12" s="82" t="s">
        <v>47</v>
      </c>
      <c r="C12" s="83">
        <v>0</v>
      </c>
      <c r="D12" s="83">
        <v>0</v>
      </c>
      <c r="E12" s="83">
        <v>0</v>
      </c>
      <c r="F12" s="83" t="s">
        <v>48</v>
      </c>
      <c r="G12" s="26"/>
      <c r="H12" s="26"/>
    </row>
    <row r="13" s="2" customFormat="1" ht="25.05" customHeight="1" spans="1:11">
      <c r="A13" s="26" t="s">
        <v>49</v>
      </c>
      <c r="B13" s="82" t="s">
        <v>50</v>
      </c>
      <c r="C13" s="83">
        <v>500</v>
      </c>
      <c r="D13" s="83">
        <v>500</v>
      </c>
      <c r="E13" s="83">
        <v>500</v>
      </c>
      <c r="F13" s="83" t="s">
        <v>51</v>
      </c>
      <c r="G13" s="26" t="s">
        <v>52</v>
      </c>
      <c r="H13" s="26"/>
    </row>
    <row r="14" s="2" customFormat="1" customHeight="1" spans="1:11">
      <c r="A14" s="26" t="s">
        <v>53</v>
      </c>
      <c r="B14" s="82" t="s">
        <v>54</v>
      </c>
      <c r="C14" s="83">
        <v>500</v>
      </c>
      <c r="D14" s="83">
        <v>500</v>
      </c>
      <c r="E14" s="83">
        <v>500</v>
      </c>
      <c r="F14" s="83" t="s">
        <v>51</v>
      </c>
      <c r="G14" s="26" t="s">
        <v>52</v>
      </c>
      <c r="H14" s="26"/>
    </row>
    <row r="15" s="2" customFormat="1" customHeight="1" spans="1:11">
      <c r="A15" s="26" t="s">
        <v>55</v>
      </c>
      <c r="B15" s="82" t="s">
        <v>56</v>
      </c>
      <c r="C15" s="83">
        <v>400</v>
      </c>
      <c r="D15" s="83">
        <v>400</v>
      </c>
      <c r="E15" s="83">
        <v>400</v>
      </c>
      <c r="F15" s="83" t="s">
        <v>51</v>
      </c>
      <c r="G15" s="26" t="s">
        <v>52</v>
      </c>
      <c r="H15" s="26"/>
    </row>
    <row r="16" s="5" customFormat="1" customHeight="1" spans="1:11">
      <c r="A16" s="44" t="s">
        <v>57</v>
      </c>
      <c r="B16" s="84" t="s">
        <v>58</v>
      </c>
      <c r="C16" s="11">
        <v>300</v>
      </c>
      <c r="D16" s="11">
        <v>300</v>
      </c>
      <c r="E16" s="11">
        <v>300</v>
      </c>
      <c r="F16" s="11" t="s">
        <v>59</v>
      </c>
      <c r="G16" s="88" t="s">
        <v>60</v>
      </c>
      <c r="H16" s="44">
        <v>3600</v>
      </c>
    </row>
    <row r="17" s="5" customFormat="1" customHeight="1" spans="1:8">
      <c r="A17" s="44" t="s">
        <v>61</v>
      </c>
      <c r="B17" s="84" t="s">
        <v>62</v>
      </c>
      <c r="C17" s="11">
        <v>200</v>
      </c>
      <c r="D17" s="11">
        <v>200</v>
      </c>
      <c r="E17" s="11">
        <v>200</v>
      </c>
      <c r="F17" s="11" t="s">
        <v>63</v>
      </c>
      <c r="G17" s="44" t="s">
        <v>64</v>
      </c>
      <c r="H17" s="44">
        <v>2500</v>
      </c>
    </row>
    <row r="18" s="5" customFormat="1" customHeight="1" spans="1:8">
      <c r="A18" s="44" t="s">
        <v>65</v>
      </c>
      <c r="B18" s="84" t="s">
        <v>66</v>
      </c>
      <c r="C18" s="11">
        <v>200</v>
      </c>
      <c r="D18" s="11">
        <v>200</v>
      </c>
      <c r="E18" s="11">
        <v>200</v>
      </c>
      <c r="F18" s="11" t="s">
        <v>63</v>
      </c>
      <c r="G18" s="44" t="s">
        <v>64</v>
      </c>
      <c r="H18" s="44">
        <v>2500</v>
      </c>
    </row>
    <row r="19" s="5" customFormat="1" customHeight="1" spans="1:8">
      <c r="A19" s="44" t="s">
        <v>67</v>
      </c>
      <c r="B19" s="84" t="s">
        <v>68</v>
      </c>
      <c r="C19" s="11">
        <v>400</v>
      </c>
      <c r="D19" s="11">
        <v>400</v>
      </c>
      <c r="E19" s="11">
        <v>400</v>
      </c>
      <c r="F19" s="11"/>
      <c r="G19" s="44" t="s">
        <v>69</v>
      </c>
      <c r="H19" s="44"/>
    </row>
    <row r="20" s="2" customFormat="1" customHeight="1" spans="1:8">
      <c r="A20" s="26" t="s">
        <v>70</v>
      </c>
      <c r="B20" s="82" t="s">
        <v>71</v>
      </c>
      <c r="C20" s="83">
        <v>167</v>
      </c>
      <c r="D20" s="83">
        <v>167</v>
      </c>
      <c r="E20" s="83">
        <v>167</v>
      </c>
      <c r="F20" s="83" t="s">
        <v>72</v>
      </c>
      <c r="G20" s="26" t="s">
        <v>73</v>
      </c>
      <c r="H20" s="26"/>
    </row>
    <row r="21" s="2" customFormat="1" ht="26" customHeight="1" spans="1:8">
      <c r="A21" s="26" t="s">
        <v>74</v>
      </c>
      <c r="B21" s="82" t="s">
        <v>75</v>
      </c>
      <c r="C21" s="83">
        <v>667</v>
      </c>
      <c r="D21" s="83">
        <v>667</v>
      </c>
      <c r="E21" s="83">
        <v>667</v>
      </c>
      <c r="F21" s="83" t="s">
        <v>76</v>
      </c>
      <c r="G21" s="26" t="s">
        <v>77</v>
      </c>
      <c r="H21" s="26"/>
    </row>
    <row r="22" s="2" customFormat="1" customHeight="1" spans="1:8">
      <c r="A22" s="26" t="s">
        <v>78</v>
      </c>
      <c r="B22" s="82" t="s">
        <v>79</v>
      </c>
      <c r="C22" s="83">
        <v>200</v>
      </c>
      <c r="D22" s="83">
        <v>200</v>
      </c>
      <c r="E22" s="83">
        <v>200</v>
      </c>
      <c r="F22" s="83" t="s">
        <v>80</v>
      </c>
      <c r="G22" s="26" t="s">
        <v>81</v>
      </c>
      <c r="H22" s="26"/>
    </row>
    <row r="23" s="2" customFormat="1" customHeight="1" spans="1:8">
      <c r="A23" s="26" t="s">
        <v>82</v>
      </c>
      <c r="B23" s="82" t="s">
        <v>83</v>
      </c>
      <c r="C23" s="83">
        <v>200</v>
      </c>
      <c r="D23" s="83">
        <v>200</v>
      </c>
      <c r="E23" s="83">
        <v>200</v>
      </c>
      <c r="F23" s="83" t="s">
        <v>84</v>
      </c>
      <c r="G23" s="26" t="s">
        <v>81</v>
      </c>
      <c r="H23" s="26"/>
    </row>
    <row r="24" s="5" customFormat="1" customHeight="1" spans="1:8">
      <c r="A24" s="44" t="s">
        <v>85</v>
      </c>
      <c r="B24" s="84" t="s">
        <v>86</v>
      </c>
      <c r="C24" s="11">
        <v>200</v>
      </c>
      <c r="D24" s="11">
        <v>200</v>
      </c>
      <c r="E24" s="11">
        <v>200</v>
      </c>
      <c r="F24" s="11" t="s">
        <v>87</v>
      </c>
      <c r="G24" s="44" t="s">
        <v>88</v>
      </c>
      <c r="H24" s="44"/>
    </row>
    <row r="25" s="2" customFormat="1" customHeight="1" spans="1:8">
      <c r="A25" s="26" t="s">
        <v>89</v>
      </c>
      <c r="B25" s="82" t="s">
        <v>90</v>
      </c>
      <c r="C25" s="83">
        <v>300</v>
      </c>
      <c r="D25" s="83">
        <v>300</v>
      </c>
      <c r="E25" s="83">
        <v>300</v>
      </c>
      <c r="F25" s="83" t="s">
        <v>91</v>
      </c>
      <c r="G25" s="26" t="s">
        <v>92</v>
      </c>
      <c r="H25" s="26"/>
    </row>
    <row r="26" customHeight="1" spans="1:8">
      <c r="A26" s="9" t="s">
        <v>93</v>
      </c>
      <c r="B26" s="84" t="s">
        <v>94</v>
      </c>
      <c r="C26" s="11">
        <v>200</v>
      </c>
      <c r="D26" s="11">
        <v>200</v>
      </c>
      <c r="E26" s="11">
        <v>200</v>
      </c>
      <c r="F26" s="11" t="s">
        <v>95</v>
      </c>
      <c r="G26" s="44" t="s">
        <v>96</v>
      </c>
    </row>
    <row r="27" s="2" customFormat="1" customHeight="1" spans="1:8">
      <c r="A27" s="26" t="s">
        <v>97</v>
      </c>
      <c r="B27" s="82" t="s">
        <v>98</v>
      </c>
      <c r="C27" s="83">
        <v>200</v>
      </c>
      <c r="D27" s="83">
        <v>200</v>
      </c>
      <c r="E27" s="83">
        <v>200</v>
      </c>
      <c r="F27" s="83" t="s">
        <v>99</v>
      </c>
      <c r="G27" s="26" t="s">
        <v>100</v>
      </c>
      <c r="H27" s="26"/>
    </row>
    <row r="28" s="5" customFormat="1" customHeight="1" spans="1:8">
      <c r="A28" s="44" t="s">
        <v>101</v>
      </c>
      <c r="B28" s="84" t="s">
        <v>102</v>
      </c>
      <c r="C28" s="11">
        <v>1000</v>
      </c>
      <c r="D28" s="11">
        <v>1000</v>
      </c>
      <c r="E28" s="11">
        <v>1000</v>
      </c>
      <c r="F28" s="11" t="s">
        <v>103</v>
      </c>
      <c r="G28" s="44" t="s">
        <v>104</v>
      </c>
      <c r="H28" s="44"/>
    </row>
    <row r="29" s="2" customFormat="1" customHeight="1" spans="1:8">
      <c r="A29" s="26" t="s">
        <v>105</v>
      </c>
      <c r="B29" s="82" t="s">
        <v>106</v>
      </c>
      <c r="C29" s="83">
        <v>167</v>
      </c>
      <c r="D29" s="83">
        <v>167</v>
      </c>
      <c r="E29" s="83">
        <v>167</v>
      </c>
      <c r="F29" s="83" t="s">
        <v>107</v>
      </c>
      <c r="G29" s="26" t="s">
        <v>108</v>
      </c>
      <c r="H29" s="26"/>
    </row>
    <row r="30" s="78" customFormat="1" customHeight="1" spans="1:8">
      <c r="A30" s="12" t="s">
        <v>109</v>
      </c>
      <c r="B30" s="86" t="s">
        <v>110</v>
      </c>
      <c r="C30" s="87">
        <v>300</v>
      </c>
      <c r="D30" s="87">
        <v>300</v>
      </c>
      <c r="E30" s="87">
        <v>300</v>
      </c>
      <c r="F30" s="87" t="s">
        <v>111</v>
      </c>
      <c r="G30" s="89" t="s">
        <v>112</v>
      </c>
      <c r="H30" s="12"/>
    </row>
    <row r="31" s="2" customFormat="1" customHeight="1" spans="1:8">
      <c r="A31" s="26" t="s">
        <v>113</v>
      </c>
      <c r="B31" s="82" t="s">
        <v>114</v>
      </c>
      <c r="C31" s="83">
        <v>167</v>
      </c>
      <c r="D31" s="83">
        <v>167</v>
      </c>
      <c r="E31" s="83">
        <v>167</v>
      </c>
      <c r="F31" s="83" t="s">
        <v>115</v>
      </c>
      <c r="G31" s="26" t="s">
        <v>116</v>
      </c>
      <c r="H31" s="26"/>
    </row>
    <row r="32" s="7" customFormat="1" customHeight="1" spans="1:8">
      <c r="A32" s="71" t="s">
        <v>117</v>
      </c>
      <c r="B32" s="90" t="s">
        <v>118</v>
      </c>
      <c r="C32" s="91">
        <v>300</v>
      </c>
      <c r="D32" s="91">
        <v>300</v>
      </c>
      <c r="E32" s="91">
        <v>300</v>
      </c>
      <c r="F32" s="91" t="s">
        <v>119</v>
      </c>
      <c r="G32" s="71" t="s">
        <v>120</v>
      </c>
      <c r="H32" s="71"/>
    </row>
    <row r="33" s="7" customFormat="1" customHeight="1" spans="1:10">
      <c r="A33" s="71" t="s">
        <v>121</v>
      </c>
      <c r="B33" s="90" t="s">
        <v>122</v>
      </c>
      <c r="C33" s="91">
        <v>2200</v>
      </c>
      <c r="D33" s="91">
        <v>2200</v>
      </c>
      <c r="E33" s="91">
        <v>2200</v>
      </c>
      <c r="F33" s="91" t="s">
        <v>123</v>
      </c>
      <c r="G33" s="92" t="s">
        <v>124</v>
      </c>
      <c r="H33" s="71"/>
    </row>
    <row r="34" customHeight="1" spans="1:10">
      <c r="A34" s="9" t="s">
        <v>125</v>
      </c>
      <c r="B34" s="84" t="s">
        <v>126</v>
      </c>
      <c r="C34" s="11">
        <v>1000</v>
      </c>
      <c r="D34" s="11">
        <v>1000</v>
      </c>
      <c r="E34" s="11">
        <v>1000</v>
      </c>
      <c r="F34" s="11"/>
      <c r="G34" s="11" t="s">
        <v>127</v>
      </c>
    </row>
    <row r="35" s="5" customFormat="1" customHeight="1" spans="1:10">
      <c r="A35" s="44" t="s">
        <v>128</v>
      </c>
      <c r="B35" s="84" t="s">
        <v>129</v>
      </c>
      <c r="C35" s="11">
        <v>400</v>
      </c>
      <c r="D35" s="11">
        <v>400</v>
      </c>
      <c r="E35" s="11">
        <v>400</v>
      </c>
      <c r="F35" s="11" t="s">
        <v>130</v>
      </c>
      <c r="G35" s="44" t="s">
        <v>131</v>
      </c>
      <c r="H35" s="44"/>
    </row>
    <row r="36" s="5" customFormat="1" customHeight="1" spans="1:10">
      <c r="A36" s="44" t="s">
        <v>132</v>
      </c>
      <c r="B36" s="84" t="s">
        <v>133</v>
      </c>
      <c r="C36" s="11">
        <v>200</v>
      </c>
      <c r="D36" s="11">
        <v>200</v>
      </c>
      <c r="E36" s="11">
        <v>200</v>
      </c>
      <c r="F36" s="11" t="s">
        <v>134</v>
      </c>
      <c r="G36" s="44" t="s">
        <v>135</v>
      </c>
      <c r="H36" s="44"/>
    </row>
    <row r="37" s="8" customFormat="1" customHeight="1" spans="1:10">
      <c r="A37" s="66" t="s">
        <v>136</v>
      </c>
      <c r="B37" s="93" t="s">
        <v>137</v>
      </c>
      <c r="C37" s="94">
        <v>300</v>
      </c>
      <c r="D37" s="94">
        <v>300</v>
      </c>
      <c r="E37" s="94">
        <v>300</v>
      </c>
      <c r="F37" s="94" t="s">
        <v>138</v>
      </c>
      <c r="G37" s="66" t="s">
        <v>139</v>
      </c>
      <c r="H37" s="66"/>
    </row>
    <row r="38" s="8" customFormat="1" customHeight="1" spans="1:10">
      <c r="A38" s="66" t="s">
        <v>140</v>
      </c>
      <c r="B38" s="93" t="s">
        <v>141</v>
      </c>
      <c r="C38" s="94">
        <v>200</v>
      </c>
      <c r="D38" s="94">
        <v>200</v>
      </c>
      <c r="E38" s="94">
        <v>200</v>
      </c>
      <c r="F38" s="94"/>
      <c r="G38" s="66" t="s">
        <v>142</v>
      </c>
      <c r="H38" s="66"/>
    </row>
    <row r="39" s="8" customFormat="1" customHeight="1" spans="1:10">
      <c r="A39" s="66" t="s">
        <v>143</v>
      </c>
      <c r="B39" s="93" t="s">
        <v>144</v>
      </c>
      <c r="C39" s="94">
        <v>200</v>
      </c>
      <c r="D39" s="94">
        <v>200</v>
      </c>
      <c r="E39" s="94">
        <v>200</v>
      </c>
      <c r="F39" s="94"/>
      <c r="G39" s="66" t="s">
        <v>145</v>
      </c>
      <c r="H39" s="66"/>
    </row>
    <row r="40" s="5" customFormat="1" customHeight="1" spans="1:10">
      <c r="A40" s="44" t="s">
        <v>146</v>
      </c>
      <c r="B40" s="84" t="s">
        <v>147</v>
      </c>
      <c r="C40" s="11">
        <v>400</v>
      </c>
      <c r="D40" s="11">
        <v>400</v>
      </c>
      <c r="E40" s="11">
        <v>400</v>
      </c>
      <c r="F40" s="11" t="s">
        <v>148</v>
      </c>
      <c r="G40" s="44" t="s">
        <v>139</v>
      </c>
      <c r="H40" s="44"/>
    </row>
    <row r="41" s="5" customFormat="1" customHeight="1" spans="1:10">
      <c r="A41" s="44" t="s">
        <v>149</v>
      </c>
      <c r="B41" s="84" t="s">
        <v>150</v>
      </c>
      <c r="C41" s="11">
        <v>100</v>
      </c>
      <c r="D41" s="11">
        <v>100</v>
      </c>
      <c r="E41" s="11">
        <v>100</v>
      </c>
      <c r="F41" s="11" t="s">
        <v>151</v>
      </c>
      <c r="G41" s="44" t="s">
        <v>152</v>
      </c>
      <c r="H41" s="44"/>
    </row>
    <row r="42" s="7" customFormat="1" customHeight="1" spans="1:10">
      <c r="A42" s="71" t="s">
        <v>153</v>
      </c>
      <c r="B42" s="90" t="s">
        <v>154</v>
      </c>
      <c r="C42" s="91">
        <v>200</v>
      </c>
      <c r="D42" s="91">
        <v>200</v>
      </c>
      <c r="E42" s="91">
        <v>200</v>
      </c>
      <c r="F42" s="91" t="s">
        <v>155</v>
      </c>
      <c r="G42" s="71" t="s">
        <v>156</v>
      </c>
      <c r="H42" s="71"/>
    </row>
    <row r="43" s="7" customFormat="1" customHeight="1" spans="1:10">
      <c r="A43" s="71" t="s">
        <v>157</v>
      </c>
      <c r="B43" s="90" t="s">
        <v>158</v>
      </c>
      <c r="C43" s="91">
        <v>240</v>
      </c>
      <c r="D43" s="91">
        <v>0</v>
      </c>
      <c r="E43" s="91">
        <v>0</v>
      </c>
      <c r="F43" s="91"/>
      <c r="G43" s="71" t="s">
        <v>159</v>
      </c>
      <c r="H43" s="71"/>
      <c r="J43" s="7">
        <f>1440*0.15</f>
        <v>216</v>
      </c>
    </row>
    <row r="44" s="5" customFormat="1" customHeight="1" spans="1:10">
      <c r="A44" s="44" t="s">
        <v>160</v>
      </c>
      <c r="B44" s="84" t="s">
        <v>161</v>
      </c>
      <c r="C44" s="11">
        <v>100</v>
      </c>
      <c r="D44" s="11">
        <v>100</v>
      </c>
      <c r="E44" s="11">
        <v>100</v>
      </c>
      <c r="F44" s="11" t="s">
        <v>162</v>
      </c>
      <c r="G44" s="69" t="s">
        <v>163</v>
      </c>
      <c r="H44" s="44"/>
    </row>
    <row r="45" s="2" customFormat="1" customHeight="1" spans="1:10">
      <c r="A45" s="26" t="s">
        <v>164</v>
      </c>
      <c r="B45" s="82" t="s">
        <v>165</v>
      </c>
      <c r="C45" s="83">
        <v>300</v>
      </c>
      <c r="D45" s="83">
        <v>300</v>
      </c>
      <c r="E45" s="83">
        <v>300</v>
      </c>
      <c r="F45" s="83" t="s">
        <v>166</v>
      </c>
      <c r="G45" s="26"/>
      <c r="H45" s="26"/>
    </row>
    <row r="46" s="2" customFormat="1" customHeight="1" spans="1:10">
      <c r="A46" s="26" t="s">
        <v>167</v>
      </c>
      <c r="B46" s="82" t="s">
        <v>168</v>
      </c>
      <c r="C46" s="83">
        <v>600</v>
      </c>
      <c r="D46" s="83">
        <v>600</v>
      </c>
      <c r="E46" s="83">
        <v>600</v>
      </c>
      <c r="F46" s="83" t="s">
        <v>169</v>
      </c>
      <c r="G46" s="26" t="s">
        <v>170</v>
      </c>
      <c r="H46" s="26"/>
    </row>
    <row r="47" s="2" customFormat="1" customHeight="1" spans="1:10">
      <c r="A47" s="26" t="s">
        <v>171</v>
      </c>
      <c r="B47" s="82" t="s">
        <v>172</v>
      </c>
      <c r="C47" s="83">
        <v>400</v>
      </c>
      <c r="D47" s="83">
        <v>400</v>
      </c>
      <c r="E47" s="83">
        <v>400</v>
      </c>
      <c r="F47" s="83" t="s">
        <v>173</v>
      </c>
      <c r="G47" s="26" t="s">
        <v>170</v>
      </c>
      <c r="H47" s="26"/>
    </row>
    <row r="48" s="2" customFormat="1" customHeight="1" spans="1:10">
      <c r="A48" s="26" t="s">
        <v>174</v>
      </c>
      <c r="B48" s="82" t="s">
        <v>175</v>
      </c>
      <c r="C48" s="83">
        <v>100</v>
      </c>
      <c r="D48" s="83">
        <v>100</v>
      </c>
      <c r="E48" s="83">
        <v>100</v>
      </c>
      <c r="F48" s="83" t="s">
        <v>176</v>
      </c>
      <c r="G48" s="26" t="s">
        <v>177</v>
      </c>
      <c r="H48" s="26"/>
    </row>
    <row r="49" s="2" customFormat="1" customHeight="1" spans="1:8">
      <c r="A49" s="26" t="s">
        <v>178</v>
      </c>
      <c r="B49" s="82" t="s">
        <v>179</v>
      </c>
      <c r="C49" s="83">
        <v>400</v>
      </c>
      <c r="D49" s="83">
        <v>400</v>
      </c>
      <c r="E49" s="83">
        <v>400</v>
      </c>
      <c r="F49" s="83" t="s">
        <v>32</v>
      </c>
      <c r="G49" s="26" t="s">
        <v>170</v>
      </c>
      <c r="H49" s="26"/>
    </row>
    <row r="50" s="5" customFormat="1" customHeight="1" spans="1:8">
      <c r="A50" s="44" t="s">
        <v>180</v>
      </c>
      <c r="B50" s="84" t="s">
        <v>181</v>
      </c>
      <c r="C50" s="11">
        <v>500</v>
      </c>
      <c r="D50" s="11">
        <v>500</v>
      </c>
      <c r="E50" s="11">
        <v>500</v>
      </c>
      <c r="F50" s="11" t="s">
        <v>182</v>
      </c>
      <c r="G50" s="44" t="s">
        <v>183</v>
      </c>
      <c r="H50" s="44"/>
    </row>
    <row r="51" s="2" customFormat="1" customHeight="1" spans="1:8">
      <c r="A51" s="26" t="s">
        <v>184</v>
      </c>
      <c r="B51" s="82" t="s">
        <v>185</v>
      </c>
      <c r="C51" s="83">
        <v>400</v>
      </c>
      <c r="D51" s="83">
        <v>400</v>
      </c>
      <c r="E51" s="83">
        <v>400</v>
      </c>
      <c r="F51" s="83" t="s">
        <v>186</v>
      </c>
      <c r="G51" s="26" t="s">
        <v>187</v>
      </c>
      <c r="H51" s="26"/>
    </row>
    <row r="52" s="2" customFormat="1" customHeight="1" spans="1:8">
      <c r="A52" s="26" t="s">
        <v>188</v>
      </c>
      <c r="B52" s="82" t="s">
        <v>189</v>
      </c>
      <c r="C52" s="83">
        <v>500</v>
      </c>
      <c r="D52" s="83">
        <v>500</v>
      </c>
      <c r="E52" s="83">
        <v>500</v>
      </c>
      <c r="F52" s="83" t="s">
        <v>190</v>
      </c>
      <c r="G52" s="26" t="s">
        <v>191</v>
      </c>
      <c r="H52" s="26"/>
    </row>
    <row r="53" s="2" customFormat="1" customHeight="1" spans="1:8">
      <c r="A53" s="26" t="s">
        <v>192</v>
      </c>
      <c r="B53" s="82" t="s">
        <v>193</v>
      </c>
      <c r="C53" s="83">
        <v>600</v>
      </c>
      <c r="D53" s="83">
        <v>600</v>
      </c>
      <c r="E53" s="83">
        <v>600</v>
      </c>
      <c r="F53" s="83" t="s">
        <v>194</v>
      </c>
      <c r="G53" s="26" t="s">
        <v>195</v>
      </c>
      <c r="H53" s="26"/>
    </row>
    <row r="54" s="2" customFormat="1" customHeight="1" spans="1:8">
      <c r="A54" s="26" t="s">
        <v>196</v>
      </c>
      <c r="B54" s="82" t="s">
        <v>197</v>
      </c>
      <c r="C54" s="83">
        <v>400</v>
      </c>
      <c r="D54" s="83">
        <v>400</v>
      </c>
      <c r="E54" s="83">
        <v>400</v>
      </c>
      <c r="F54" s="83" t="s">
        <v>198</v>
      </c>
      <c r="G54" s="26" t="s">
        <v>195</v>
      </c>
      <c r="H54" s="26"/>
    </row>
    <row r="55" s="78" customFormat="1" customHeight="1" spans="1:8">
      <c r="A55" s="12" t="s">
        <v>199</v>
      </c>
      <c r="B55" s="86" t="s">
        <v>200</v>
      </c>
      <c r="C55" s="87">
        <v>100</v>
      </c>
      <c r="D55" s="87">
        <v>100</v>
      </c>
      <c r="E55" s="87">
        <v>100</v>
      </c>
      <c r="F55" s="87" t="s">
        <v>201</v>
      </c>
      <c r="G55" s="12" t="s">
        <v>202</v>
      </c>
      <c r="H55" s="12"/>
    </row>
    <row r="56" s="2" customFormat="1" customHeight="1" spans="1:8">
      <c r="A56" s="26" t="s">
        <v>203</v>
      </c>
      <c r="B56" s="82" t="s">
        <v>204</v>
      </c>
      <c r="C56" s="83"/>
      <c r="D56" s="83">
        <v>200</v>
      </c>
      <c r="E56" s="83">
        <v>200</v>
      </c>
      <c r="F56" s="83" t="s">
        <v>205</v>
      </c>
      <c r="G56" s="26" t="s">
        <v>206</v>
      </c>
      <c r="H56" s="26"/>
    </row>
    <row r="57" s="2" customFormat="1" customHeight="1" spans="1:8">
      <c r="A57" s="26" t="s">
        <v>207</v>
      </c>
      <c r="B57" s="82" t="s">
        <v>208</v>
      </c>
      <c r="C57" s="83">
        <v>300</v>
      </c>
      <c r="D57" s="83">
        <v>800</v>
      </c>
      <c r="E57" s="83">
        <v>800</v>
      </c>
      <c r="F57" s="83" t="s">
        <v>209</v>
      </c>
      <c r="G57" s="26" t="s">
        <v>210</v>
      </c>
      <c r="H57" s="26"/>
    </row>
    <row r="58" s="2" customFormat="1" customHeight="1" spans="1:8">
      <c r="A58" s="26" t="s">
        <v>211</v>
      </c>
      <c r="B58" s="82" t="s">
        <v>212</v>
      </c>
      <c r="C58" s="83">
        <v>300</v>
      </c>
      <c r="D58" s="83">
        <v>200</v>
      </c>
      <c r="E58" s="83">
        <v>200</v>
      </c>
      <c r="F58" s="83" t="s">
        <v>213</v>
      </c>
      <c r="G58" s="26" t="s">
        <v>214</v>
      </c>
      <c r="H58" s="26"/>
    </row>
    <row r="59" s="7" customFormat="1" customHeight="1" spans="1:8">
      <c r="A59" s="71" t="s">
        <v>215</v>
      </c>
      <c r="B59" s="90" t="s">
        <v>216</v>
      </c>
      <c r="C59" s="91">
        <v>200</v>
      </c>
      <c r="D59" s="91">
        <v>200</v>
      </c>
      <c r="E59" s="91">
        <v>200</v>
      </c>
      <c r="F59" s="91" t="s">
        <v>217</v>
      </c>
      <c r="G59" s="71" t="s">
        <v>218</v>
      </c>
      <c r="H59" s="71"/>
    </row>
    <row r="60" s="2" customFormat="1" customHeight="1" spans="1:8">
      <c r="A60" s="26" t="s">
        <v>219</v>
      </c>
      <c r="B60" s="82" t="s">
        <v>220</v>
      </c>
      <c r="C60" s="83"/>
      <c r="D60" s="83">
        <v>300</v>
      </c>
      <c r="E60" s="83">
        <v>300</v>
      </c>
      <c r="F60" s="83" t="s">
        <v>221</v>
      </c>
      <c r="G60" s="26" t="s">
        <v>222</v>
      </c>
      <c r="H60" s="26"/>
    </row>
    <row r="61" s="5" customFormat="1" customHeight="1" spans="1:8">
      <c r="A61" s="44" t="s">
        <v>223</v>
      </c>
      <c r="B61" s="84" t="s">
        <v>224</v>
      </c>
      <c r="C61" s="11"/>
      <c r="D61" s="11">
        <v>300</v>
      </c>
      <c r="E61" s="11">
        <v>300</v>
      </c>
      <c r="F61" s="11" t="s">
        <v>225</v>
      </c>
      <c r="G61" s="44" t="s">
        <v>222</v>
      </c>
      <c r="H61" s="44"/>
    </row>
    <row r="62" s="5" customFormat="1" customHeight="1" spans="1:8">
      <c r="A62" s="44" t="s">
        <v>226</v>
      </c>
      <c r="B62" s="84" t="s">
        <v>227</v>
      </c>
      <c r="C62" s="11"/>
      <c r="D62" s="11">
        <v>100</v>
      </c>
      <c r="E62" s="11">
        <v>100</v>
      </c>
      <c r="F62" s="11" t="s">
        <v>225</v>
      </c>
      <c r="G62" s="44" t="s">
        <v>228</v>
      </c>
      <c r="H62" s="44"/>
    </row>
    <row r="63" s="2" customFormat="1" customHeight="1" spans="1:8">
      <c r="A63" s="26" t="s">
        <v>229</v>
      </c>
      <c r="B63" s="82" t="s">
        <v>230</v>
      </c>
      <c r="C63" s="83"/>
      <c r="D63" s="83">
        <v>100</v>
      </c>
      <c r="E63" s="83">
        <v>100</v>
      </c>
      <c r="F63" s="83" t="s">
        <v>231</v>
      </c>
      <c r="G63" s="26" t="s">
        <v>228</v>
      </c>
      <c r="H63" s="26"/>
    </row>
    <row r="64" s="2" customFormat="1" customHeight="1" spans="1:8">
      <c r="A64" s="26" t="s">
        <v>232</v>
      </c>
      <c r="B64" s="82" t="s">
        <v>233</v>
      </c>
      <c r="C64" s="83"/>
      <c r="D64" s="83">
        <v>300</v>
      </c>
      <c r="E64" s="83">
        <v>300</v>
      </c>
      <c r="F64" s="83" t="s">
        <v>234</v>
      </c>
      <c r="G64" s="26" t="s">
        <v>235</v>
      </c>
      <c r="H64" s="26"/>
    </row>
    <row r="65" s="2" customFormat="1" customHeight="1" spans="1:8">
      <c r="A65" s="26" t="s">
        <v>236</v>
      </c>
      <c r="B65" s="82" t="s">
        <v>237</v>
      </c>
      <c r="C65" s="83"/>
      <c r="D65" s="83">
        <v>0</v>
      </c>
      <c r="E65" s="83">
        <v>300</v>
      </c>
      <c r="F65" s="83" t="s">
        <v>238</v>
      </c>
      <c r="G65" s="26"/>
      <c r="H65" s="26"/>
    </row>
    <row r="66" customHeight="1" spans="1:8">
      <c r="B66" s="95"/>
      <c r="C66" s="10">
        <f>SUM(C3:C64)</f>
        <v>22491</v>
      </c>
      <c r="D66" s="10">
        <f>SUM(D3:D65)</f>
        <v>24251</v>
      </c>
      <c r="E66" s="10">
        <f>SUM(E3:E65)</f>
        <v>24551</v>
      </c>
    </row>
    <row r="67" customHeight="1" spans="1:8">
      <c r="C67" s="96">
        <f t="shared" ref="C67:E67" si="0">C2</f>
        <v>45809</v>
      </c>
      <c r="D67" s="96">
        <f t="shared" si="0"/>
        <v>45839</v>
      </c>
      <c r="E67" s="96">
        <f t="shared" si="0"/>
        <v>45870</v>
      </c>
      <c r="F67" s="80"/>
    </row>
    <row r="68" s="79" customFormat="1" customHeight="1" spans="1:8">
      <c r="A68" s="97" t="s">
        <v>239</v>
      </c>
      <c r="B68" s="97"/>
      <c r="F68" s="98"/>
      <c r="G68" s="97"/>
      <c r="H68" s="97"/>
    </row>
    <row r="71" customHeight="1" spans="1:8">
      <c r="B71" s="9" t="s">
        <v>240</v>
      </c>
    </row>
  </sheetData>
  <autoFilter xmlns:etc="http://www.wps.cn/officeDocument/2017/etCustomData" ref="A2:L68" etc:filterBottomFollowUsedRange="0">
    <extLst/>
  </autoFilter>
  <mergeCells count="1">
    <mergeCell ref="F37:F39"/>
  </mergeCells>
  <pageMargins left="0.7" right="0.7" top="0.75" bottom="0.75" header="0.3" footer="0.3"/>
  <pageSetup paperSize="9" scale="44" orientation="portrait" horizontalDpi="18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0"/>
  <sheetViews>
    <sheetView showOutlineSymbols="0" tabSelected="1" workbookViewId="0">
      <pane xSplit="8" ySplit="3" topLeftCell="I19" activePane="bottomRight" state="frozen"/>
      <selection/>
      <selection pane="topRight"/>
      <selection pane="bottomLeft"/>
      <selection pane="bottomRight" activeCell="H37" sqref="H37"/>
    </sheetView>
  </sheetViews>
  <sheetFormatPr defaultColWidth="8.75" defaultRowHeight="19.05" customHeight="1"/>
  <cols>
    <col min="1" max="1" width="6.06666666666667" style="9" customWidth="1"/>
    <col min="2" max="2" width="22.8166666666667" style="9" customWidth="1"/>
    <col min="3" max="3" width="13" style="10" customWidth="1"/>
    <col min="4" max="4" width="10" hidden="1" customWidth="1"/>
    <col min="5" max="6" width="10.6916666666667" hidden="1" customWidth="1"/>
    <col min="7" max="7" width="10.6916666666667" customWidth="1"/>
    <col min="8" max="8" width="39.125" style="10" customWidth="1"/>
    <col min="9" max="10" width="16.875" style="10" customWidth="1"/>
    <col min="11" max="11" width="42.375" style="9" customWidth="1"/>
    <col min="12" max="12" width="8.75" style="9"/>
    <col min="15" max="15" width="35.75" customWidth="1"/>
  </cols>
  <sheetData>
    <row r="1" customHeight="1" spans="1:15">
      <c r="E1" s="2" t="s">
        <v>8</v>
      </c>
      <c r="F1" s="2"/>
      <c r="G1" s="2"/>
      <c r="H1" s="11" t="s">
        <v>9</v>
      </c>
      <c r="I1" s="12" t="s">
        <v>10</v>
      </c>
      <c r="J1" s="13"/>
      <c r="K1" s="14"/>
    </row>
    <row r="2" s="1" customFormat="1" customHeight="1" spans="1:15">
      <c r="A2" s="15" t="s">
        <v>11</v>
      </c>
      <c r="B2" s="15" t="s">
        <v>12</v>
      </c>
      <c r="C2" s="15" t="s">
        <v>241</v>
      </c>
      <c r="D2" s="16" t="s">
        <v>242</v>
      </c>
      <c r="E2" s="16"/>
      <c r="F2" s="16"/>
      <c r="G2" s="16"/>
      <c r="H2" s="15" t="s">
        <v>243</v>
      </c>
      <c r="I2" s="17" t="s">
        <v>244</v>
      </c>
      <c r="J2" s="17" t="s">
        <v>245</v>
      </c>
      <c r="K2" s="14"/>
      <c r="L2" s="14"/>
    </row>
    <row r="3" s="1" customFormat="1" customHeight="1" spans="1:15">
      <c r="A3" s="18"/>
      <c r="B3" s="18"/>
      <c r="C3" s="15"/>
      <c r="D3" s="19">
        <v>45809</v>
      </c>
      <c r="E3" s="19">
        <v>45839</v>
      </c>
      <c r="F3" s="19">
        <v>45870</v>
      </c>
      <c r="G3" s="19" t="s">
        <v>246</v>
      </c>
      <c r="H3" s="19" t="s">
        <v>13</v>
      </c>
      <c r="I3" s="20"/>
      <c r="J3" s="20"/>
      <c r="K3" s="14"/>
      <c r="L3" s="14"/>
      <c r="O3" s="21"/>
    </row>
    <row r="4" s="2" customFormat="1" customHeight="1" spans="1:15">
      <c r="A4" s="22" t="s">
        <v>14</v>
      </c>
      <c r="B4" s="23" t="s">
        <v>15</v>
      </c>
      <c r="C4" s="24">
        <f>400*12</f>
        <v>4800</v>
      </c>
      <c r="D4" s="25">
        <v>400</v>
      </c>
      <c r="E4" s="25">
        <v>400</v>
      </c>
      <c r="F4" s="25">
        <v>400</v>
      </c>
      <c r="G4" s="25">
        <v>400</v>
      </c>
      <c r="H4" s="25" t="s">
        <v>247</v>
      </c>
      <c r="I4" s="25">
        <v>2025.12</v>
      </c>
      <c r="J4" s="25" t="s">
        <v>248</v>
      </c>
      <c r="K4" s="26" t="s">
        <v>17</v>
      </c>
      <c r="L4" s="26"/>
    </row>
    <row r="5" s="3" customFormat="1" customHeight="1" spans="1:15">
      <c r="A5" s="27" t="s">
        <v>18</v>
      </c>
      <c r="B5" s="28" t="s">
        <v>19</v>
      </c>
      <c r="C5" s="29">
        <f>700*12</f>
        <v>8400</v>
      </c>
      <c r="D5" s="30">
        <v>300</v>
      </c>
      <c r="E5" s="30">
        <v>700</v>
      </c>
      <c r="F5" s="30">
        <v>700</v>
      </c>
      <c r="G5" s="30">
        <v>700</v>
      </c>
      <c r="H5" s="30" t="s">
        <v>249</v>
      </c>
      <c r="I5" s="30">
        <v>2025.12</v>
      </c>
      <c r="J5" s="30" t="s">
        <v>250</v>
      </c>
      <c r="K5" s="31" t="s">
        <v>20</v>
      </c>
      <c r="L5" s="31">
        <f>900*12</f>
        <v>10800</v>
      </c>
      <c r="O5" s="32"/>
    </row>
    <row r="6" s="3" customFormat="1" customHeight="1" spans="1:15">
      <c r="A6" s="27" t="s">
        <v>21</v>
      </c>
      <c r="B6" s="28" t="s">
        <v>22</v>
      </c>
      <c r="C6" s="29">
        <f>200*12</f>
        <v>2400</v>
      </c>
      <c r="D6" s="30">
        <v>300</v>
      </c>
      <c r="E6" s="30">
        <v>200</v>
      </c>
      <c r="F6" s="30">
        <v>200</v>
      </c>
      <c r="G6" s="30">
        <v>200</v>
      </c>
      <c r="H6" s="30" t="s">
        <v>249</v>
      </c>
      <c r="I6" s="30">
        <v>2025.12</v>
      </c>
      <c r="J6" s="30" t="s">
        <v>250</v>
      </c>
      <c r="K6" s="31" t="s">
        <v>23</v>
      </c>
      <c r="L6" s="31"/>
      <c r="O6" s="32"/>
    </row>
    <row r="7" s="3" customFormat="1" customHeight="1" spans="1:15">
      <c r="A7" s="27" t="s">
        <v>24</v>
      </c>
      <c r="B7" s="28" t="s">
        <v>25</v>
      </c>
      <c r="C7" s="29">
        <f>500*12</f>
        <v>6000</v>
      </c>
      <c r="D7" s="30">
        <v>500</v>
      </c>
      <c r="E7" s="30">
        <v>500</v>
      </c>
      <c r="F7" s="30">
        <v>500</v>
      </c>
      <c r="G7" s="30">
        <v>500</v>
      </c>
      <c r="H7" s="30" t="s">
        <v>251</v>
      </c>
      <c r="I7" s="30">
        <v>2025.12</v>
      </c>
      <c r="J7" s="30" t="s">
        <v>252</v>
      </c>
      <c r="K7" s="31" t="s">
        <v>27</v>
      </c>
      <c r="L7" s="31"/>
    </row>
    <row r="8" s="3" customFormat="1" customHeight="1" spans="1:15">
      <c r="A8" s="27" t="s">
        <v>28</v>
      </c>
      <c r="B8" s="28" t="s">
        <v>29</v>
      </c>
      <c r="C8" s="29">
        <f>500*12</f>
        <v>6000</v>
      </c>
      <c r="D8" s="30">
        <v>500</v>
      </c>
      <c r="E8" s="30">
        <v>500</v>
      </c>
      <c r="F8" s="30">
        <v>500</v>
      </c>
      <c r="G8" s="30">
        <v>500</v>
      </c>
      <c r="H8" s="30" t="s">
        <v>251</v>
      </c>
      <c r="I8" s="30">
        <v>2025.12</v>
      </c>
      <c r="J8" s="30" t="s">
        <v>252</v>
      </c>
      <c r="K8" s="31" t="s">
        <v>27</v>
      </c>
      <c r="L8" s="31"/>
    </row>
    <row r="9" s="2" customFormat="1" customHeight="1" spans="1:15">
      <c r="A9" s="22" t="s">
        <v>30</v>
      </c>
      <c r="B9" s="23" t="s">
        <v>31</v>
      </c>
      <c r="C9" s="33">
        <f>500*12</f>
        <v>6000</v>
      </c>
      <c r="D9" s="25">
        <v>500</v>
      </c>
      <c r="E9" s="25">
        <v>500</v>
      </c>
      <c r="F9" s="25">
        <v>500</v>
      </c>
      <c r="G9" s="25">
        <v>500</v>
      </c>
      <c r="H9" s="25" t="s">
        <v>253</v>
      </c>
      <c r="I9" s="25">
        <v>2025.12</v>
      </c>
      <c r="J9" s="25" t="s">
        <v>248</v>
      </c>
      <c r="K9" s="26" t="s">
        <v>33</v>
      </c>
      <c r="L9" s="26"/>
    </row>
    <row r="10" s="2" customFormat="1" customHeight="1" spans="1:15">
      <c r="A10" s="22" t="s">
        <v>34</v>
      </c>
      <c r="B10" s="23" t="s">
        <v>35</v>
      </c>
      <c r="C10" s="24">
        <f>400*12</f>
        <v>4800</v>
      </c>
      <c r="D10" s="25">
        <v>400</v>
      </c>
      <c r="E10" s="25">
        <v>400</v>
      </c>
      <c r="F10" s="25">
        <v>400</v>
      </c>
      <c r="G10" s="25">
        <v>400</v>
      </c>
      <c r="H10" s="25" t="s">
        <v>253</v>
      </c>
      <c r="I10" s="25">
        <v>2025.12</v>
      </c>
      <c r="J10" s="25" t="s">
        <v>248</v>
      </c>
      <c r="K10" s="26" t="s">
        <v>36</v>
      </c>
      <c r="L10" s="26"/>
      <c r="O10" s="34"/>
    </row>
    <row r="11" s="3" customFormat="1" customHeight="1" spans="1:15">
      <c r="A11" s="27" t="s">
        <v>37</v>
      </c>
      <c r="B11" s="28" t="s">
        <v>38</v>
      </c>
      <c r="C11" s="29">
        <f>300*12</f>
        <v>3600</v>
      </c>
      <c r="D11" s="30">
        <v>300</v>
      </c>
      <c r="E11" s="30">
        <v>300</v>
      </c>
      <c r="F11" s="30">
        <v>300</v>
      </c>
      <c r="G11" s="30">
        <v>300</v>
      </c>
      <c r="H11" s="30" t="s">
        <v>254</v>
      </c>
      <c r="I11" s="30">
        <v>2026.6</v>
      </c>
      <c r="J11" s="30" t="s">
        <v>255</v>
      </c>
      <c r="K11" s="31" t="s">
        <v>256</v>
      </c>
      <c r="L11" s="31"/>
      <c r="M11" s="31"/>
    </row>
    <row r="12" s="2" customFormat="1" customHeight="1" spans="1:15">
      <c r="A12" s="22" t="s">
        <v>42</v>
      </c>
      <c r="B12" s="23" t="s">
        <v>43</v>
      </c>
      <c r="C12" s="24">
        <v>25000</v>
      </c>
      <c r="D12" s="25">
        <v>2083</v>
      </c>
      <c r="E12" s="25">
        <v>2083</v>
      </c>
      <c r="F12" s="25">
        <v>2083</v>
      </c>
      <c r="G12" s="25">
        <v>2083</v>
      </c>
      <c r="H12" s="25" t="s">
        <v>257</v>
      </c>
      <c r="I12" s="25">
        <v>2026.4</v>
      </c>
      <c r="J12" s="25" t="s">
        <v>248</v>
      </c>
      <c r="K12" s="26" t="s">
        <v>258</v>
      </c>
      <c r="L12" s="26"/>
    </row>
    <row r="13" s="2" customFormat="1" customHeight="1" spans="1:15">
      <c r="A13" s="22" t="s">
        <v>46</v>
      </c>
      <c r="B13" s="23" t="s">
        <v>47</v>
      </c>
      <c r="C13" s="24">
        <v>0</v>
      </c>
      <c r="D13" s="25">
        <v>0</v>
      </c>
      <c r="E13" s="25">
        <v>0</v>
      </c>
      <c r="F13" s="25">
        <v>0</v>
      </c>
      <c r="G13" s="25">
        <v>0</v>
      </c>
      <c r="H13" s="25" t="s">
        <v>48</v>
      </c>
      <c r="I13" s="25" t="s">
        <v>48</v>
      </c>
      <c r="J13" s="25" t="s">
        <v>48</v>
      </c>
      <c r="K13" s="26" t="s">
        <v>259</v>
      </c>
      <c r="L13" s="26"/>
    </row>
    <row r="14" s="4" customFormat="1" ht="25.05" customHeight="1" spans="1:15">
      <c r="A14" s="35" t="s">
        <v>49</v>
      </c>
      <c r="B14" s="36" t="s">
        <v>260</v>
      </c>
      <c r="C14" s="37">
        <f>500*12</f>
        <v>6000</v>
      </c>
      <c r="D14" s="38">
        <v>500</v>
      </c>
      <c r="E14" s="38">
        <v>500</v>
      </c>
      <c r="F14" s="38">
        <v>500</v>
      </c>
      <c r="G14" s="38">
        <v>500</v>
      </c>
      <c r="H14" s="38" t="s">
        <v>261</v>
      </c>
      <c r="I14" s="38">
        <v>2025.12</v>
      </c>
      <c r="J14" s="38" t="s">
        <v>248</v>
      </c>
      <c r="K14" s="39" t="s">
        <v>262</v>
      </c>
      <c r="L14" s="39"/>
    </row>
    <row r="15" s="3" customFormat="1" customHeight="1" spans="1:15">
      <c r="A15" s="27" t="s">
        <v>53</v>
      </c>
      <c r="B15" s="28" t="s">
        <v>263</v>
      </c>
      <c r="C15" s="29">
        <f>500*12</f>
        <v>6000</v>
      </c>
      <c r="D15" s="30">
        <v>500</v>
      </c>
      <c r="E15" s="30">
        <v>500</v>
      </c>
      <c r="F15" s="30">
        <v>500</v>
      </c>
      <c r="G15" s="30">
        <v>500</v>
      </c>
      <c r="H15" s="30" t="s">
        <v>264</v>
      </c>
      <c r="I15" s="30">
        <v>2026.12</v>
      </c>
      <c r="J15" s="30" t="s">
        <v>248</v>
      </c>
      <c r="K15" s="31" t="s">
        <v>52</v>
      </c>
      <c r="L15" s="31"/>
    </row>
    <row r="16" s="3" customFormat="1" customHeight="1" spans="1:15">
      <c r="A16" s="27" t="s">
        <v>55</v>
      </c>
      <c r="B16" s="28" t="s">
        <v>265</v>
      </c>
      <c r="C16" s="29">
        <f>400*12</f>
        <v>4800</v>
      </c>
      <c r="D16" s="30">
        <v>400</v>
      </c>
      <c r="E16" s="30">
        <v>400</v>
      </c>
      <c r="F16" s="30">
        <v>400</v>
      </c>
      <c r="G16" s="30">
        <v>400</v>
      </c>
      <c r="H16" s="30" t="s">
        <v>264</v>
      </c>
      <c r="I16" s="30">
        <v>2026.12</v>
      </c>
      <c r="J16" s="30" t="s">
        <v>248</v>
      </c>
      <c r="K16" s="31" t="s">
        <v>52</v>
      </c>
      <c r="L16" s="31"/>
    </row>
    <row r="17" s="3" customFormat="1" customHeight="1" spans="1:12">
      <c r="A17" s="27" t="s">
        <v>57</v>
      </c>
      <c r="B17" s="28" t="s">
        <v>58</v>
      </c>
      <c r="C17" s="29">
        <f>300*12</f>
        <v>3600</v>
      </c>
      <c r="D17" s="30">
        <v>300</v>
      </c>
      <c r="E17" s="30">
        <v>300</v>
      </c>
      <c r="F17" s="30">
        <v>300</v>
      </c>
      <c r="G17" s="30">
        <v>300</v>
      </c>
      <c r="H17" s="30" t="s">
        <v>266</v>
      </c>
      <c r="I17" s="30">
        <v>2025.12</v>
      </c>
      <c r="J17" s="30" t="s">
        <v>250</v>
      </c>
      <c r="K17" s="40" t="s">
        <v>267</v>
      </c>
      <c r="L17" s="31"/>
    </row>
    <row r="18" s="3" customFormat="1" customHeight="1" spans="1:12">
      <c r="A18" s="27" t="s">
        <v>61</v>
      </c>
      <c r="B18" s="28" t="s">
        <v>62</v>
      </c>
      <c r="C18" s="29">
        <f>200*12</f>
        <v>2400</v>
      </c>
      <c r="D18" s="30">
        <v>200</v>
      </c>
      <c r="E18" s="30">
        <v>200</v>
      </c>
      <c r="F18" s="30">
        <v>200</v>
      </c>
      <c r="G18" s="30">
        <v>200</v>
      </c>
      <c r="H18" s="30" t="s">
        <v>268</v>
      </c>
      <c r="I18" s="30">
        <v>2025.12</v>
      </c>
      <c r="J18" s="30" t="s">
        <v>250</v>
      </c>
      <c r="K18" s="31" t="s">
        <v>269</v>
      </c>
      <c r="L18" s="31"/>
    </row>
    <row r="19" s="3" customFormat="1" customHeight="1" spans="1:12">
      <c r="A19" s="27" t="s">
        <v>65</v>
      </c>
      <c r="B19" s="28" t="s">
        <v>66</v>
      </c>
      <c r="C19" s="29">
        <f>200*12</f>
        <v>2400</v>
      </c>
      <c r="D19" s="30">
        <v>200</v>
      </c>
      <c r="E19" s="30">
        <v>200</v>
      </c>
      <c r="F19" s="30">
        <v>200</v>
      </c>
      <c r="G19" s="30">
        <v>200</v>
      </c>
      <c r="H19" s="30" t="s">
        <v>268</v>
      </c>
      <c r="I19" s="30">
        <v>2025.12</v>
      </c>
      <c r="J19" s="30" t="s">
        <v>250</v>
      </c>
      <c r="K19" s="31" t="s">
        <v>270</v>
      </c>
      <c r="L19" s="31"/>
    </row>
    <row r="20" s="3" customFormat="1" customHeight="1" spans="1:12">
      <c r="A20" s="27" t="s">
        <v>67</v>
      </c>
      <c r="B20" s="28" t="s">
        <v>68</v>
      </c>
      <c r="C20" s="29">
        <f>400*12</f>
        <v>4800</v>
      </c>
      <c r="D20" s="30">
        <v>400</v>
      </c>
      <c r="E20" s="30">
        <v>400</v>
      </c>
      <c r="F20" s="30">
        <v>400</v>
      </c>
      <c r="G20" s="30">
        <v>400</v>
      </c>
      <c r="H20" s="30" t="s">
        <v>268</v>
      </c>
      <c r="I20" s="30">
        <v>2025.12</v>
      </c>
      <c r="J20" s="30" t="s">
        <v>250</v>
      </c>
      <c r="K20" s="31" t="s">
        <v>271</v>
      </c>
      <c r="L20" s="31"/>
    </row>
    <row r="21" s="3" customFormat="1" customHeight="1" spans="1:12">
      <c r="A21" s="27" t="s">
        <v>70</v>
      </c>
      <c r="B21" s="28" t="s">
        <v>71</v>
      </c>
      <c r="C21" s="29">
        <v>2000</v>
      </c>
      <c r="D21" s="30">
        <v>167</v>
      </c>
      <c r="E21" s="30">
        <v>167</v>
      </c>
      <c r="F21" s="30">
        <v>167</v>
      </c>
      <c r="G21" s="30">
        <v>167</v>
      </c>
      <c r="H21" s="30" t="s">
        <v>272</v>
      </c>
      <c r="I21" s="30">
        <v>2026.12</v>
      </c>
      <c r="J21" s="30" t="s">
        <v>248</v>
      </c>
      <c r="K21" s="31" t="s">
        <v>73</v>
      </c>
      <c r="L21" s="31"/>
    </row>
    <row r="22" s="3" customFormat="1" ht="26" customHeight="1" spans="1:12">
      <c r="A22" s="27" t="s">
        <v>74</v>
      </c>
      <c r="B22" s="28" t="s">
        <v>75</v>
      </c>
      <c r="C22" s="29">
        <v>8000</v>
      </c>
      <c r="D22" s="30">
        <v>667</v>
      </c>
      <c r="E22" s="30">
        <v>667</v>
      </c>
      <c r="F22" s="30">
        <v>667</v>
      </c>
      <c r="G22" s="30">
        <v>667</v>
      </c>
      <c r="H22" s="30" t="s">
        <v>272</v>
      </c>
      <c r="I22" s="30">
        <v>2026.12</v>
      </c>
      <c r="J22" s="30" t="s">
        <v>248</v>
      </c>
      <c r="K22" s="31" t="s">
        <v>273</v>
      </c>
      <c r="L22" s="31"/>
    </row>
    <row r="23" s="3" customFormat="1" customHeight="1" spans="1:12">
      <c r="A23" s="27" t="s">
        <v>78</v>
      </c>
      <c r="B23" s="28" t="s">
        <v>79</v>
      </c>
      <c r="C23" s="29">
        <f>200*12</f>
        <v>2400</v>
      </c>
      <c r="D23" s="30">
        <v>200</v>
      </c>
      <c r="E23" s="30">
        <v>200</v>
      </c>
      <c r="F23" s="30">
        <v>200</v>
      </c>
      <c r="G23" s="30">
        <v>200</v>
      </c>
      <c r="H23" s="30" t="s">
        <v>274</v>
      </c>
      <c r="I23" s="30">
        <v>2026.12</v>
      </c>
      <c r="J23" s="30" t="s">
        <v>248</v>
      </c>
      <c r="K23" s="31" t="s">
        <v>81</v>
      </c>
      <c r="L23" s="31"/>
    </row>
    <row r="24" s="3" customFormat="1" customHeight="1" spans="1:12">
      <c r="A24" s="27" t="s">
        <v>82</v>
      </c>
      <c r="B24" s="28" t="s">
        <v>83</v>
      </c>
      <c r="C24" s="29">
        <f>200*12</f>
        <v>2400</v>
      </c>
      <c r="D24" s="30">
        <v>200</v>
      </c>
      <c r="E24" s="30">
        <v>200</v>
      </c>
      <c r="F24" s="30">
        <v>200</v>
      </c>
      <c r="G24" s="30">
        <v>200</v>
      </c>
      <c r="H24" s="30" t="s">
        <v>275</v>
      </c>
      <c r="I24" s="30">
        <v>2026.12</v>
      </c>
      <c r="J24" s="30" t="s">
        <v>248</v>
      </c>
      <c r="K24" s="31" t="s">
        <v>81</v>
      </c>
      <c r="L24" s="31"/>
    </row>
    <row r="25" s="5" customFormat="1" customHeight="1" spans="1:12">
      <c r="A25" s="41" t="s">
        <v>85</v>
      </c>
      <c r="B25" s="42" t="s">
        <v>86</v>
      </c>
      <c r="C25" s="24">
        <f>200*12</f>
        <v>2400</v>
      </c>
      <c r="D25" s="43">
        <v>200</v>
      </c>
      <c r="E25" s="43">
        <v>200</v>
      </c>
      <c r="F25" s="43">
        <v>200</v>
      </c>
      <c r="G25" s="43">
        <v>200</v>
      </c>
      <c r="H25" s="43" t="s">
        <v>276</v>
      </c>
      <c r="I25" s="43">
        <v>2024.12</v>
      </c>
      <c r="J25" s="43" t="s">
        <v>250</v>
      </c>
      <c r="K25" s="44" t="s">
        <v>88</v>
      </c>
      <c r="L25" s="44"/>
    </row>
    <row r="26" s="3" customFormat="1" customHeight="1" spans="1:12">
      <c r="A26" s="27" t="s">
        <v>89</v>
      </c>
      <c r="B26" s="28" t="s">
        <v>90</v>
      </c>
      <c r="C26" s="29">
        <f>300*12</f>
        <v>3600</v>
      </c>
      <c r="D26" s="30">
        <v>300</v>
      </c>
      <c r="E26" s="30">
        <v>300</v>
      </c>
      <c r="F26" s="30">
        <v>300</v>
      </c>
      <c r="G26" s="30">
        <v>300</v>
      </c>
      <c r="H26" s="30" t="s">
        <v>277</v>
      </c>
      <c r="I26" s="30">
        <v>2026.12</v>
      </c>
      <c r="J26" s="30" t="s">
        <v>248</v>
      </c>
      <c r="K26" s="31" t="s">
        <v>278</v>
      </c>
      <c r="L26" s="31"/>
    </row>
    <row r="27" s="3" customFormat="1" customHeight="1" spans="1:12">
      <c r="A27" s="27" t="s">
        <v>93</v>
      </c>
      <c r="B27" s="28" t="s">
        <v>94</v>
      </c>
      <c r="C27" s="29">
        <f>200*12</f>
        <v>2400</v>
      </c>
      <c r="D27" s="30">
        <v>200</v>
      </c>
      <c r="E27" s="30">
        <v>200</v>
      </c>
      <c r="F27" s="30">
        <v>200</v>
      </c>
      <c r="G27" s="30">
        <v>200</v>
      </c>
      <c r="H27" s="30" t="s">
        <v>279</v>
      </c>
      <c r="I27" s="30">
        <v>2025.12</v>
      </c>
      <c r="J27" s="30" t="s">
        <v>250</v>
      </c>
      <c r="K27" s="31" t="s">
        <v>280</v>
      </c>
      <c r="L27" s="31"/>
    </row>
    <row r="28" s="3" customFormat="1" customHeight="1" spans="1:12">
      <c r="A28" s="27" t="s">
        <v>97</v>
      </c>
      <c r="B28" s="28" t="s">
        <v>98</v>
      </c>
      <c r="C28" s="29">
        <f>200*12</f>
        <v>2400</v>
      </c>
      <c r="D28" s="30">
        <v>200</v>
      </c>
      <c r="E28" s="30">
        <v>200</v>
      </c>
      <c r="F28" s="30">
        <v>200</v>
      </c>
      <c r="G28" s="30">
        <v>200</v>
      </c>
      <c r="H28" s="30" t="s">
        <v>281</v>
      </c>
      <c r="I28" s="30">
        <v>2026.8</v>
      </c>
      <c r="J28" s="30" t="s">
        <v>248</v>
      </c>
      <c r="K28" s="31" t="s">
        <v>100</v>
      </c>
      <c r="L28" s="31"/>
    </row>
    <row r="29" s="5" customFormat="1" customHeight="1" spans="1:12">
      <c r="A29" s="41" t="s">
        <v>101</v>
      </c>
      <c r="B29" s="42" t="s">
        <v>102</v>
      </c>
      <c r="C29" s="45">
        <f>1000*12</f>
        <v>12000</v>
      </c>
      <c r="D29" s="43">
        <v>1000</v>
      </c>
      <c r="E29" s="43">
        <v>1000</v>
      </c>
      <c r="F29" s="43">
        <v>1000</v>
      </c>
      <c r="G29" s="43">
        <v>1000</v>
      </c>
      <c r="H29" s="43" t="s">
        <v>282</v>
      </c>
      <c r="I29" s="43">
        <v>2024.12</v>
      </c>
      <c r="J29" s="43" t="s">
        <v>283</v>
      </c>
      <c r="K29" s="44" t="s">
        <v>284</v>
      </c>
      <c r="L29" s="44"/>
    </row>
    <row r="30" s="3" customFormat="1" customHeight="1" spans="1:12">
      <c r="A30" s="27" t="s">
        <v>105</v>
      </c>
      <c r="B30" s="28" t="s">
        <v>106</v>
      </c>
      <c r="C30" s="29">
        <v>2000</v>
      </c>
      <c r="D30" s="30">
        <v>167</v>
      </c>
      <c r="E30" s="30">
        <v>167</v>
      </c>
      <c r="F30" s="30">
        <v>167</v>
      </c>
      <c r="G30" s="30">
        <v>167</v>
      </c>
      <c r="H30" s="30" t="s">
        <v>272</v>
      </c>
      <c r="I30" s="30">
        <v>2026.12</v>
      </c>
      <c r="J30" s="30" t="s">
        <v>248</v>
      </c>
      <c r="K30" s="31" t="s">
        <v>108</v>
      </c>
      <c r="L30" s="31"/>
    </row>
    <row r="31" s="3" customFormat="1" customHeight="1" spans="1:12">
      <c r="A31" s="27" t="s">
        <v>109</v>
      </c>
      <c r="B31" s="28" t="s">
        <v>110</v>
      </c>
      <c r="C31" s="29">
        <f>300*12</f>
        <v>3600</v>
      </c>
      <c r="D31" s="30">
        <v>300</v>
      </c>
      <c r="E31" s="30">
        <v>300</v>
      </c>
      <c r="F31" s="30">
        <v>300</v>
      </c>
      <c r="G31" s="30">
        <v>300</v>
      </c>
      <c r="H31" s="30" t="s">
        <v>285</v>
      </c>
      <c r="I31" s="30">
        <v>2025.12</v>
      </c>
      <c r="J31" s="30" t="s">
        <v>286</v>
      </c>
      <c r="K31" s="46" t="s">
        <v>287</v>
      </c>
      <c r="L31" s="31"/>
    </row>
    <row r="32" s="6" customFormat="1" customHeight="1" spans="1:12">
      <c r="A32" s="47" t="s">
        <v>113</v>
      </c>
      <c r="B32" s="48" t="s">
        <v>114</v>
      </c>
      <c r="C32" s="49">
        <v>2000</v>
      </c>
      <c r="D32" s="50">
        <v>167</v>
      </c>
      <c r="E32" s="50">
        <v>167</v>
      </c>
      <c r="F32" s="50">
        <v>167</v>
      </c>
      <c r="G32" s="50">
        <v>167</v>
      </c>
      <c r="H32" s="50" t="s">
        <v>288</v>
      </c>
      <c r="I32" s="50">
        <v>2025.12</v>
      </c>
      <c r="J32" s="50" t="s">
        <v>248</v>
      </c>
      <c r="K32" s="51" t="s">
        <v>289</v>
      </c>
      <c r="L32" s="51"/>
    </row>
    <row r="33" s="3" customFormat="1" customHeight="1" spans="1:14">
      <c r="A33" s="27" t="s">
        <v>117</v>
      </c>
      <c r="B33" s="28" t="s">
        <v>118</v>
      </c>
      <c r="C33" s="29">
        <f>300*12</f>
        <v>3600</v>
      </c>
      <c r="D33" s="30">
        <v>300</v>
      </c>
      <c r="E33" s="30">
        <v>300</v>
      </c>
      <c r="F33" s="30">
        <v>300</v>
      </c>
      <c r="G33" s="30">
        <v>300</v>
      </c>
      <c r="H33" s="30" t="s">
        <v>290</v>
      </c>
      <c r="I33" s="30">
        <v>2026.6</v>
      </c>
      <c r="J33" s="30" t="s">
        <v>248</v>
      </c>
      <c r="K33" s="52" t="s">
        <v>291</v>
      </c>
      <c r="L33" s="31"/>
    </row>
    <row r="34" s="7" customFormat="1" customHeight="1" spans="1:14">
      <c r="A34" s="53" t="s">
        <v>121</v>
      </c>
      <c r="B34" s="54" t="s">
        <v>122</v>
      </c>
      <c r="C34" s="55">
        <f>2200*12</f>
        <v>26400</v>
      </c>
      <c r="D34" s="56">
        <v>2200</v>
      </c>
      <c r="E34" s="56">
        <v>2200</v>
      </c>
      <c r="F34" s="56">
        <v>2200</v>
      </c>
      <c r="G34" s="56">
        <v>2200</v>
      </c>
      <c r="H34" s="56" t="s">
        <v>123</v>
      </c>
      <c r="I34" s="57">
        <v>2025.9</v>
      </c>
      <c r="J34" s="57" t="s">
        <v>248</v>
      </c>
      <c r="K34" s="58" t="s">
        <v>292</v>
      </c>
      <c r="L34" s="59" t="s">
        <v>293</v>
      </c>
      <c r="M34" s="60"/>
      <c r="N34" s="60"/>
    </row>
    <row r="35" s="3" customFormat="1" customHeight="1" spans="1:14">
      <c r="A35" s="27" t="s">
        <v>125</v>
      </c>
      <c r="B35" s="28" t="s">
        <v>126</v>
      </c>
      <c r="C35" s="29">
        <v>5400</v>
      </c>
      <c r="D35" s="30">
        <v>1000</v>
      </c>
      <c r="E35" s="30">
        <v>1000</v>
      </c>
      <c r="F35" s="30">
        <v>1000</v>
      </c>
      <c r="G35" s="30">
        <v>450</v>
      </c>
      <c r="H35" s="30" t="s">
        <v>294</v>
      </c>
      <c r="I35" s="30">
        <v>2025.12</v>
      </c>
      <c r="J35" s="30" t="s">
        <v>295</v>
      </c>
      <c r="K35" s="40" t="s">
        <v>296</v>
      </c>
      <c r="L35" s="31"/>
    </row>
    <row r="36" s="2" customFormat="1" customHeight="1" spans="1:14">
      <c r="A36" s="22" t="s">
        <v>128</v>
      </c>
      <c r="B36" s="23" t="s">
        <v>129</v>
      </c>
      <c r="C36" s="24">
        <f>400*12</f>
        <v>4800</v>
      </c>
      <c r="D36" s="25">
        <v>400</v>
      </c>
      <c r="E36" s="25">
        <v>400</v>
      </c>
      <c r="F36" s="25">
        <v>400</v>
      </c>
      <c r="G36" s="25">
        <v>400</v>
      </c>
      <c r="H36" s="25" t="s">
        <v>297</v>
      </c>
      <c r="I36" s="25">
        <v>2024.12</v>
      </c>
      <c r="J36" s="25" t="s">
        <v>248</v>
      </c>
      <c r="K36" s="26" t="s">
        <v>298</v>
      </c>
      <c r="L36" s="26"/>
    </row>
    <row r="37" s="2" customFormat="1" customHeight="1" spans="1:14">
      <c r="A37" s="22" t="s">
        <v>132</v>
      </c>
      <c r="B37" s="23" t="s">
        <v>133</v>
      </c>
      <c r="C37" s="24">
        <f>200*12</f>
        <v>2400</v>
      </c>
      <c r="D37" s="25">
        <v>200</v>
      </c>
      <c r="E37" s="25">
        <v>200</v>
      </c>
      <c r="F37" s="25">
        <v>200</v>
      </c>
      <c r="G37" s="25">
        <v>200</v>
      </c>
      <c r="H37" s="25" t="s">
        <v>297</v>
      </c>
      <c r="I37" s="25">
        <v>2024.12</v>
      </c>
      <c r="J37" s="25" t="s">
        <v>248</v>
      </c>
      <c r="K37" s="26" t="s">
        <v>135</v>
      </c>
      <c r="L37" s="26"/>
    </row>
    <row r="38" s="8" customFormat="1" customHeight="1" spans="1:14">
      <c r="A38" s="61" t="s">
        <v>136</v>
      </c>
      <c r="B38" s="62" t="s">
        <v>137</v>
      </c>
      <c r="C38" s="63">
        <f>300*12</f>
        <v>3600</v>
      </c>
      <c r="D38" s="64">
        <v>300</v>
      </c>
      <c r="E38" s="64">
        <v>300</v>
      </c>
      <c r="F38" s="64">
        <v>300</v>
      </c>
      <c r="G38" s="64">
        <v>300</v>
      </c>
      <c r="H38" s="64" t="s">
        <v>138</v>
      </c>
      <c r="I38" s="65">
        <v>2024.12</v>
      </c>
      <c r="J38" s="65" t="s">
        <v>299</v>
      </c>
      <c r="K38" s="66" t="s">
        <v>139</v>
      </c>
      <c r="L38" s="66"/>
    </row>
    <row r="39" s="8" customFormat="1" customHeight="1" spans="1:14">
      <c r="A39" s="61" t="s">
        <v>140</v>
      </c>
      <c r="B39" s="62" t="s">
        <v>141</v>
      </c>
      <c r="C39" s="63">
        <f>200*12</f>
        <v>2400</v>
      </c>
      <c r="D39" s="64">
        <v>200</v>
      </c>
      <c r="E39" s="64">
        <v>200</v>
      </c>
      <c r="F39" s="64">
        <v>200</v>
      </c>
      <c r="G39" s="64">
        <v>200</v>
      </c>
      <c r="H39" s="64"/>
      <c r="I39" s="67"/>
      <c r="J39" s="67"/>
      <c r="K39" s="66" t="s">
        <v>300</v>
      </c>
      <c r="L39" s="66"/>
    </row>
    <row r="40" s="8" customFormat="1" customHeight="1" spans="1:14">
      <c r="A40" s="61" t="s">
        <v>143</v>
      </c>
      <c r="B40" s="62" t="s">
        <v>144</v>
      </c>
      <c r="C40" s="63">
        <f>200*12</f>
        <v>2400</v>
      </c>
      <c r="D40" s="64">
        <v>200</v>
      </c>
      <c r="E40" s="64">
        <v>200</v>
      </c>
      <c r="F40" s="64">
        <v>200</v>
      </c>
      <c r="G40" s="64">
        <v>200</v>
      </c>
      <c r="H40" s="64"/>
      <c r="I40" s="68"/>
      <c r="J40" s="68"/>
      <c r="K40" s="66" t="s">
        <v>145</v>
      </c>
      <c r="L40" s="66"/>
    </row>
    <row r="41" s="4" customFormat="1" customHeight="1" spans="1:14">
      <c r="A41" s="35" t="s">
        <v>146</v>
      </c>
      <c r="B41" s="36" t="s">
        <v>147</v>
      </c>
      <c r="C41" s="37">
        <f>400*12</f>
        <v>4800</v>
      </c>
      <c r="D41" s="38">
        <v>400</v>
      </c>
      <c r="E41" s="38">
        <v>400</v>
      </c>
      <c r="F41" s="38">
        <v>400</v>
      </c>
      <c r="G41" s="38">
        <v>400</v>
      </c>
      <c r="H41" s="38" t="s">
        <v>301</v>
      </c>
      <c r="I41" s="38">
        <v>2025.08</v>
      </c>
      <c r="J41" s="38" t="s">
        <v>302</v>
      </c>
      <c r="K41" s="39" t="s">
        <v>303</v>
      </c>
      <c r="L41" s="39"/>
    </row>
    <row r="42" s="3" customFormat="1" customHeight="1" spans="1:14">
      <c r="A42" s="27" t="s">
        <v>149</v>
      </c>
      <c r="B42" s="28" t="s">
        <v>150</v>
      </c>
      <c r="C42" s="29">
        <f>100*12</f>
        <v>1200</v>
      </c>
      <c r="D42" s="30">
        <v>100</v>
      </c>
      <c r="E42" s="30">
        <v>100</v>
      </c>
      <c r="F42" s="30">
        <v>100</v>
      </c>
      <c r="G42" s="30">
        <v>100</v>
      </c>
      <c r="H42" s="30" t="s">
        <v>268</v>
      </c>
      <c r="I42" s="30">
        <v>2025.12</v>
      </c>
      <c r="J42" s="30" t="s">
        <v>304</v>
      </c>
      <c r="K42" s="31" t="s">
        <v>152</v>
      </c>
      <c r="L42" s="31"/>
    </row>
    <row r="43" s="3" customFormat="1" customHeight="1" spans="1:14">
      <c r="A43" s="27" t="s">
        <v>153</v>
      </c>
      <c r="B43" s="28" t="s">
        <v>154</v>
      </c>
      <c r="C43" s="29">
        <v>2800</v>
      </c>
      <c r="D43" s="30">
        <v>200</v>
      </c>
      <c r="E43" s="30">
        <v>200</v>
      </c>
      <c r="F43" s="30">
        <v>200</v>
      </c>
      <c r="G43" s="30">
        <v>400</v>
      </c>
      <c r="H43" s="30" t="s">
        <v>305</v>
      </c>
      <c r="I43" s="30">
        <v>2025.12</v>
      </c>
      <c r="J43" s="30" t="s">
        <v>306</v>
      </c>
      <c r="K43" s="31" t="s">
        <v>307</v>
      </c>
      <c r="L43" s="31"/>
    </row>
    <row r="44" s="5" customFormat="1" customHeight="1" spans="1:14">
      <c r="A44" s="53" t="s">
        <v>157</v>
      </c>
      <c r="B44" s="54" t="s">
        <v>161</v>
      </c>
      <c r="C44" s="45">
        <f>100*12</f>
        <v>1200</v>
      </c>
      <c r="D44" s="43">
        <v>100</v>
      </c>
      <c r="E44" s="43">
        <v>100</v>
      </c>
      <c r="F44" s="43">
        <v>100</v>
      </c>
      <c r="G44" s="43">
        <v>100</v>
      </c>
      <c r="H44" s="43" t="s">
        <v>308</v>
      </c>
      <c r="I44" s="43">
        <v>2024.12</v>
      </c>
      <c r="J44" s="43"/>
      <c r="K44" s="69" t="s">
        <v>163</v>
      </c>
      <c r="L44" s="44"/>
    </row>
    <row r="45" s="2" customFormat="1" customHeight="1" spans="1:14">
      <c r="A45" s="53" t="s">
        <v>160</v>
      </c>
      <c r="B45" s="54" t="s">
        <v>165</v>
      </c>
      <c r="C45" s="24">
        <f>300*12</f>
        <v>3600</v>
      </c>
      <c r="D45" s="25">
        <v>300</v>
      </c>
      <c r="E45" s="25">
        <v>300</v>
      </c>
      <c r="F45" s="25">
        <v>300</v>
      </c>
      <c r="G45" s="25">
        <v>300</v>
      </c>
      <c r="H45" s="25" t="s">
        <v>309</v>
      </c>
      <c r="I45" s="25">
        <v>2025.12</v>
      </c>
      <c r="J45" s="25" t="s">
        <v>248</v>
      </c>
      <c r="K45" s="26"/>
      <c r="L45" s="26"/>
    </row>
    <row r="46" s="2" customFormat="1" customHeight="1" spans="1:14">
      <c r="A46" s="53" t="s">
        <v>164</v>
      </c>
      <c r="B46" s="23" t="s">
        <v>168</v>
      </c>
      <c r="C46" s="24">
        <f>600*12</f>
        <v>7200</v>
      </c>
      <c r="D46" s="25">
        <v>600</v>
      </c>
      <c r="E46" s="25">
        <v>600</v>
      </c>
      <c r="F46" s="25">
        <v>600</v>
      </c>
      <c r="G46" s="25">
        <v>600</v>
      </c>
      <c r="H46" s="25" t="s">
        <v>310</v>
      </c>
      <c r="I46" s="25">
        <v>2025.12</v>
      </c>
      <c r="J46" s="25" t="s">
        <v>248</v>
      </c>
      <c r="K46" s="26" t="s">
        <v>170</v>
      </c>
      <c r="L46" s="26"/>
    </row>
    <row r="47" s="2" customFormat="1" customHeight="1" spans="1:14">
      <c r="A47" s="53" t="s">
        <v>167</v>
      </c>
      <c r="B47" s="23" t="s">
        <v>172</v>
      </c>
      <c r="C47" s="24">
        <f>400*12</f>
        <v>4800</v>
      </c>
      <c r="D47" s="25">
        <v>400</v>
      </c>
      <c r="E47" s="25">
        <v>400</v>
      </c>
      <c r="F47" s="25">
        <v>400</v>
      </c>
      <c r="G47" s="25">
        <v>400</v>
      </c>
      <c r="H47" s="25" t="s">
        <v>311</v>
      </c>
      <c r="I47" s="25">
        <v>2025.12</v>
      </c>
      <c r="J47" s="25" t="s">
        <v>248</v>
      </c>
      <c r="K47" s="26" t="s">
        <v>170</v>
      </c>
      <c r="L47" s="26"/>
    </row>
    <row r="48" s="2" customFormat="1" customHeight="1" spans="1:14">
      <c r="A48" s="53" t="s">
        <v>171</v>
      </c>
      <c r="B48" s="23" t="s">
        <v>175</v>
      </c>
      <c r="C48" s="24">
        <f>100*12</f>
        <v>1200</v>
      </c>
      <c r="D48" s="25">
        <v>100</v>
      </c>
      <c r="E48" s="25">
        <v>100</v>
      </c>
      <c r="F48" s="25">
        <v>100</v>
      </c>
      <c r="G48" s="25">
        <v>100</v>
      </c>
      <c r="H48" s="25" t="s">
        <v>311</v>
      </c>
      <c r="I48" s="25">
        <v>2025.12</v>
      </c>
      <c r="J48" s="25" t="s">
        <v>248</v>
      </c>
      <c r="K48" s="26" t="s">
        <v>177</v>
      </c>
      <c r="L48" s="26"/>
    </row>
    <row r="49" s="2" customFormat="1" customHeight="1" spans="1:12">
      <c r="A49" s="53" t="s">
        <v>174</v>
      </c>
      <c r="B49" s="23" t="s">
        <v>312</v>
      </c>
      <c r="C49" s="24">
        <f>400*12</f>
        <v>4800</v>
      </c>
      <c r="D49" s="25">
        <v>400</v>
      </c>
      <c r="E49" s="25">
        <v>400</v>
      </c>
      <c r="F49" s="25">
        <v>400</v>
      </c>
      <c r="G49" s="25">
        <v>400</v>
      </c>
      <c r="H49" s="25" t="s">
        <v>313</v>
      </c>
      <c r="I49" s="25">
        <v>2025.12</v>
      </c>
      <c r="J49" s="25" t="s">
        <v>248</v>
      </c>
      <c r="K49" s="26" t="s">
        <v>170</v>
      </c>
      <c r="L49" s="26"/>
    </row>
    <row r="50" s="5" customFormat="1" customHeight="1" spans="1:12">
      <c r="A50" s="53" t="s">
        <v>178</v>
      </c>
      <c r="B50" s="54" t="s">
        <v>181</v>
      </c>
      <c r="C50" s="45">
        <f>500*12</f>
        <v>6000</v>
      </c>
      <c r="D50" s="43">
        <v>500</v>
      </c>
      <c r="E50" s="43">
        <v>500</v>
      </c>
      <c r="F50" s="43">
        <v>500</v>
      </c>
      <c r="G50" s="43">
        <v>500</v>
      </c>
      <c r="H50" s="43" t="s">
        <v>314</v>
      </c>
      <c r="I50" s="43">
        <v>2024.12</v>
      </c>
      <c r="J50" s="43" t="s">
        <v>250</v>
      </c>
      <c r="K50" s="44" t="s">
        <v>315</v>
      </c>
      <c r="L50" s="44"/>
    </row>
    <row r="51" s="2" customFormat="1" customHeight="1" spans="1:12">
      <c r="A51" s="53" t="s">
        <v>180</v>
      </c>
      <c r="B51" s="23" t="s">
        <v>185</v>
      </c>
      <c r="C51" s="24">
        <f>400*12</f>
        <v>4800</v>
      </c>
      <c r="D51" s="25">
        <v>400</v>
      </c>
      <c r="E51" s="25">
        <v>400</v>
      </c>
      <c r="F51" s="25">
        <v>400</v>
      </c>
      <c r="G51" s="25">
        <v>400</v>
      </c>
      <c r="H51" s="25" t="s">
        <v>316</v>
      </c>
      <c r="I51" s="25">
        <v>2025.12</v>
      </c>
      <c r="J51" s="25" t="s">
        <v>248</v>
      </c>
      <c r="K51" s="26" t="s">
        <v>317</v>
      </c>
      <c r="L51" s="26"/>
    </row>
    <row r="52" s="2" customFormat="1" customHeight="1" spans="1:12">
      <c r="A52" s="53" t="s">
        <v>184</v>
      </c>
      <c r="B52" s="54" t="s">
        <v>189</v>
      </c>
      <c r="C52" s="24">
        <f>500*12</f>
        <v>6000</v>
      </c>
      <c r="D52" s="25">
        <v>500</v>
      </c>
      <c r="E52" s="25">
        <v>500</v>
      </c>
      <c r="F52" s="25">
        <v>500</v>
      </c>
      <c r="G52" s="25">
        <v>500</v>
      </c>
      <c r="H52" s="25" t="s">
        <v>318</v>
      </c>
      <c r="I52" s="25">
        <v>2025.12</v>
      </c>
      <c r="J52" s="25" t="s">
        <v>248</v>
      </c>
      <c r="K52" s="26" t="s">
        <v>319</v>
      </c>
      <c r="L52" s="26"/>
    </row>
    <row r="53" s="3" customFormat="1" customHeight="1" spans="1:12">
      <c r="A53" s="27" t="s">
        <v>188</v>
      </c>
      <c r="B53" s="28" t="s">
        <v>193</v>
      </c>
      <c r="C53" s="29">
        <f>600*12</f>
        <v>7200</v>
      </c>
      <c r="D53" s="30">
        <v>600</v>
      </c>
      <c r="E53" s="30">
        <v>600</v>
      </c>
      <c r="F53" s="30">
        <v>600</v>
      </c>
      <c r="G53" s="30">
        <v>600</v>
      </c>
      <c r="H53" s="30" t="s">
        <v>277</v>
      </c>
      <c r="I53" s="30">
        <v>2026.12</v>
      </c>
      <c r="J53" s="30" t="s">
        <v>248</v>
      </c>
      <c r="K53" s="31" t="s">
        <v>195</v>
      </c>
      <c r="L53" s="31"/>
    </row>
    <row r="54" s="3" customFormat="1" customHeight="1" spans="1:12">
      <c r="A54" s="27" t="s">
        <v>192</v>
      </c>
      <c r="B54" s="28" t="s">
        <v>197</v>
      </c>
      <c r="C54" s="29">
        <f>400*12</f>
        <v>4800</v>
      </c>
      <c r="D54" s="30">
        <v>400</v>
      </c>
      <c r="E54" s="30">
        <v>400</v>
      </c>
      <c r="F54" s="30">
        <v>400</v>
      </c>
      <c r="G54" s="30">
        <v>400</v>
      </c>
      <c r="H54" s="30" t="s">
        <v>277</v>
      </c>
      <c r="I54" s="30">
        <v>2026.12</v>
      </c>
      <c r="J54" s="30" t="s">
        <v>248</v>
      </c>
      <c r="K54" s="31" t="s">
        <v>195</v>
      </c>
      <c r="L54" s="31"/>
    </row>
    <row r="55" s="3" customFormat="1" customHeight="1" spans="1:12">
      <c r="A55" s="27" t="s">
        <v>196</v>
      </c>
      <c r="B55" s="28" t="s">
        <v>200</v>
      </c>
      <c r="C55" s="29">
        <f>100*12</f>
        <v>1200</v>
      </c>
      <c r="D55" s="30">
        <v>100</v>
      </c>
      <c r="E55" s="30">
        <v>100</v>
      </c>
      <c r="F55" s="30">
        <v>100</v>
      </c>
      <c r="G55" s="30">
        <v>100</v>
      </c>
      <c r="H55" s="30" t="s">
        <v>320</v>
      </c>
      <c r="I55" s="30">
        <v>2026.6</v>
      </c>
      <c r="J55" s="30" t="s">
        <v>248</v>
      </c>
      <c r="K55" s="31" t="s">
        <v>321</v>
      </c>
      <c r="L55" s="31"/>
    </row>
    <row r="56" s="2" customFormat="1" customHeight="1" spans="1:12">
      <c r="A56" s="53" t="s">
        <v>199</v>
      </c>
      <c r="B56" s="23" t="s">
        <v>204</v>
      </c>
      <c r="C56" s="24">
        <f>200*12</f>
        <v>2400</v>
      </c>
      <c r="D56" s="25"/>
      <c r="E56" s="25">
        <v>200</v>
      </c>
      <c r="F56" s="25">
        <v>200</v>
      </c>
      <c r="G56" s="25">
        <v>200</v>
      </c>
      <c r="H56" s="25" t="s">
        <v>322</v>
      </c>
      <c r="I56" s="25">
        <v>2026.6</v>
      </c>
      <c r="J56" s="25" t="s">
        <v>248</v>
      </c>
      <c r="K56" s="26" t="s">
        <v>206</v>
      </c>
      <c r="L56" s="26"/>
    </row>
    <row r="57" s="2" customFormat="1" customHeight="1" spans="1:12">
      <c r="A57" s="53" t="s">
        <v>203</v>
      </c>
      <c r="B57" s="23" t="s">
        <v>208</v>
      </c>
      <c r="C57" s="24">
        <f>800*12</f>
        <v>9600</v>
      </c>
      <c r="D57" s="25">
        <v>300</v>
      </c>
      <c r="E57" s="25">
        <v>800</v>
      </c>
      <c r="F57" s="25">
        <v>800</v>
      </c>
      <c r="G57" s="25">
        <v>800</v>
      </c>
      <c r="H57" s="25" t="s">
        <v>209</v>
      </c>
      <c r="I57" s="25">
        <v>2026.5</v>
      </c>
      <c r="J57" s="25" t="s">
        <v>248</v>
      </c>
      <c r="K57" s="26" t="s">
        <v>210</v>
      </c>
      <c r="L57" s="26"/>
    </row>
    <row r="58" s="2" customFormat="1" customHeight="1" spans="1:12">
      <c r="A58" s="53" t="s">
        <v>207</v>
      </c>
      <c r="B58" s="23" t="s">
        <v>212</v>
      </c>
      <c r="C58" s="24">
        <f>200*12</f>
        <v>2400</v>
      </c>
      <c r="D58" s="25">
        <v>300</v>
      </c>
      <c r="E58" s="25">
        <v>200</v>
      </c>
      <c r="F58" s="25">
        <v>200</v>
      </c>
      <c r="G58" s="25">
        <v>200</v>
      </c>
      <c r="H58" s="25" t="s">
        <v>323</v>
      </c>
      <c r="I58" s="25">
        <v>2026.5</v>
      </c>
      <c r="J58" s="25" t="s">
        <v>248</v>
      </c>
      <c r="K58" s="26" t="s">
        <v>214</v>
      </c>
      <c r="L58" s="26"/>
    </row>
    <row r="59" s="7" customFormat="1" customHeight="1" spans="1:12">
      <c r="A59" s="53" t="s">
        <v>211</v>
      </c>
      <c r="B59" s="70" t="s">
        <v>216</v>
      </c>
      <c r="C59" s="55">
        <f>200*12</f>
        <v>2400</v>
      </c>
      <c r="D59" s="56">
        <v>200</v>
      </c>
      <c r="E59" s="56">
        <v>200</v>
      </c>
      <c r="F59" s="56">
        <v>200</v>
      </c>
      <c r="G59" s="56">
        <v>200</v>
      </c>
      <c r="H59" s="56" t="s">
        <v>217</v>
      </c>
      <c r="I59" s="56">
        <v>2026.5</v>
      </c>
      <c r="J59" s="56" t="s">
        <v>299</v>
      </c>
      <c r="K59" s="71" t="s">
        <v>218</v>
      </c>
      <c r="L59" s="71"/>
    </row>
    <row r="60" s="2" customFormat="1" customHeight="1" spans="1:12">
      <c r="A60" s="53" t="s">
        <v>215</v>
      </c>
      <c r="B60" s="23" t="s">
        <v>220</v>
      </c>
      <c r="C60" s="24">
        <f>300*12</f>
        <v>3600</v>
      </c>
      <c r="D60" s="25"/>
      <c r="E60" s="25">
        <v>300</v>
      </c>
      <c r="F60" s="25">
        <v>300</v>
      </c>
      <c r="G60" s="25">
        <v>300</v>
      </c>
      <c r="H60" s="25" t="s">
        <v>324</v>
      </c>
      <c r="I60" s="25">
        <v>2026.6</v>
      </c>
      <c r="J60" s="25" t="s">
        <v>248</v>
      </c>
      <c r="K60" s="26" t="s">
        <v>222</v>
      </c>
      <c r="L60" s="26"/>
    </row>
    <row r="61" s="3" customFormat="1" customHeight="1" spans="1:12">
      <c r="A61" s="27" t="s">
        <v>219</v>
      </c>
      <c r="B61" s="28" t="s">
        <v>224</v>
      </c>
      <c r="C61" s="29">
        <v>9600</v>
      </c>
      <c r="D61" s="30"/>
      <c r="E61" s="30">
        <v>300</v>
      </c>
      <c r="F61" s="30">
        <v>300</v>
      </c>
      <c r="G61" s="30">
        <v>800</v>
      </c>
      <c r="H61" s="30" t="s">
        <v>325</v>
      </c>
      <c r="I61" s="30">
        <v>2026.12</v>
      </c>
      <c r="J61" s="30" t="s">
        <v>248</v>
      </c>
      <c r="K61" s="31" t="s">
        <v>326</v>
      </c>
      <c r="L61" s="31"/>
    </row>
    <row r="62" s="3" customFormat="1" customHeight="1" spans="1:12">
      <c r="A62" s="27" t="s">
        <v>223</v>
      </c>
      <c r="B62" s="28" t="s">
        <v>227</v>
      </c>
      <c r="C62" s="29">
        <f>100*12</f>
        <v>1200</v>
      </c>
      <c r="D62" s="30"/>
      <c r="E62" s="30">
        <v>100</v>
      </c>
      <c r="F62" s="30">
        <v>100</v>
      </c>
      <c r="G62" s="30">
        <v>100</v>
      </c>
      <c r="H62" s="30" t="s">
        <v>325</v>
      </c>
      <c r="I62" s="30">
        <v>2026.12</v>
      </c>
      <c r="J62" s="30" t="s">
        <v>248</v>
      </c>
      <c r="K62" s="31" t="s">
        <v>228</v>
      </c>
      <c r="L62" s="31"/>
    </row>
    <row r="63" s="3" customFormat="1" customHeight="1" spans="1:12">
      <c r="A63" s="27" t="s">
        <v>226</v>
      </c>
      <c r="B63" s="28" t="s">
        <v>230</v>
      </c>
      <c r="C63" s="29">
        <f>100*12</f>
        <v>1200</v>
      </c>
      <c r="D63" s="30"/>
      <c r="E63" s="30">
        <v>100</v>
      </c>
      <c r="F63" s="30">
        <v>100</v>
      </c>
      <c r="G63" s="30">
        <v>100</v>
      </c>
      <c r="H63" s="30" t="s">
        <v>325</v>
      </c>
      <c r="I63" s="30">
        <v>2026.12</v>
      </c>
      <c r="J63" s="30" t="s">
        <v>248</v>
      </c>
      <c r="K63" s="31" t="s">
        <v>228</v>
      </c>
      <c r="L63" s="31"/>
    </row>
    <row r="64" s="2" customFormat="1" customHeight="1" spans="1:12">
      <c r="A64" s="53" t="s">
        <v>229</v>
      </c>
      <c r="B64" s="23" t="s">
        <v>233</v>
      </c>
      <c r="C64" s="24">
        <f>300*12</f>
        <v>3600</v>
      </c>
      <c r="D64" s="25"/>
      <c r="E64" s="25">
        <v>300</v>
      </c>
      <c r="F64" s="25">
        <v>300</v>
      </c>
      <c r="G64" s="25">
        <v>300</v>
      </c>
      <c r="H64" s="25" t="s">
        <v>234</v>
      </c>
      <c r="I64" s="25">
        <v>2026.6</v>
      </c>
      <c r="J64" s="25" t="s">
        <v>248</v>
      </c>
      <c r="K64" s="26" t="s">
        <v>235</v>
      </c>
      <c r="L64" s="26"/>
    </row>
    <row r="65" s="2" customFormat="1" customHeight="1" spans="1:12">
      <c r="A65" s="53" t="s">
        <v>232</v>
      </c>
      <c r="B65" s="54" t="s">
        <v>237</v>
      </c>
      <c r="C65" s="24">
        <f>300*12</f>
        <v>3600</v>
      </c>
      <c r="D65" s="25"/>
      <c r="E65" s="25">
        <v>0</v>
      </c>
      <c r="F65" s="25">
        <v>300</v>
      </c>
      <c r="G65" s="25">
        <v>800</v>
      </c>
      <c r="H65" s="25" t="s">
        <v>238</v>
      </c>
      <c r="I65" s="25">
        <v>2026.7</v>
      </c>
      <c r="J65" s="25" t="s">
        <v>248</v>
      </c>
      <c r="K65" s="26" t="s">
        <v>327</v>
      </c>
      <c r="L65" s="26"/>
    </row>
    <row r="66" s="2" customFormat="1" customHeight="1" spans="1:12">
      <c r="A66" s="53" t="s">
        <v>236</v>
      </c>
      <c r="B66" s="23" t="s">
        <v>328</v>
      </c>
      <c r="C66" s="24">
        <v>9600</v>
      </c>
      <c r="D66" s="25"/>
      <c r="E66" s="25"/>
      <c r="F66" s="25"/>
      <c r="G66" s="25">
        <v>800</v>
      </c>
      <c r="H66" s="25"/>
      <c r="I66" s="25"/>
      <c r="J66" s="25"/>
      <c r="K66" s="26"/>
      <c r="L66" s="26"/>
    </row>
    <row r="67" ht="21" customHeight="1" spans="1:12">
      <c r="A67" s="72"/>
      <c r="B67" s="73"/>
      <c r="C67" s="74">
        <f>SUM(C4:C65)</f>
        <v>294400</v>
      </c>
      <c r="D67" s="75">
        <f>SUM(D4:D64)</f>
        <v>22251</v>
      </c>
      <c r="E67" s="75">
        <f>SUM(E4:E65)</f>
        <v>24251</v>
      </c>
      <c r="F67" s="75">
        <f>SUM(F4:F65)</f>
        <v>24551</v>
      </c>
      <c r="G67" s="75">
        <f>SUM(G4:G66)</f>
        <v>26001</v>
      </c>
      <c r="H67" s="75"/>
      <c r="I67" s="75"/>
      <c r="J67" s="75"/>
    </row>
    <row r="68" customHeight="1" spans="1:12">
      <c r="A68" s="72"/>
      <c r="B68" s="72"/>
      <c r="C68" s="75"/>
      <c r="D68" s="76">
        <f t="shared" ref="D68:G68" si="0">D3</f>
        <v>45809</v>
      </c>
      <c r="E68" s="76">
        <f t="shared" si="0"/>
        <v>45839</v>
      </c>
      <c r="F68" s="76">
        <f t="shared" si="0"/>
        <v>45870</v>
      </c>
      <c r="G68" s="76"/>
      <c r="H68" s="77"/>
      <c r="I68" s="77"/>
      <c r="J68" s="77"/>
    </row>
    <row r="70" customHeight="1" spans="1:12">
      <c r="C70" s="10">
        <v>16000</v>
      </c>
    </row>
  </sheetData>
  <autoFilter xmlns:etc="http://www.wps.cn/officeDocument/2017/etCustomData" ref="A3:P68" etc:filterBottomFollowUsedRange="0">
    <extLst/>
  </autoFilter>
  <mergeCells count="9">
    <mergeCell ref="D2:F2"/>
    <mergeCell ref="A2:A3"/>
    <mergeCell ref="B2:B3"/>
    <mergeCell ref="C2:C3"/>
    <mergeCell ref="H38:H40"/>
    <mergeCell ref="I2:I3"/>
    <mergeCell ref="I38:I40"/>
    <mergeCell ref="J2:J3"/>
    <mergeCell ref="J38:J40"/>
  </mergeCells>
  <pageMargins left="0.7" right="0.7" top="0.75" bottom="0.75" header="0.3" footer="0.3"/>
  <pageSetup paperSize="9" scale="35" orientation="portrait" horizontalDpi="180" verticalDpi="18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管理制度、提成制度</vt:lpstr>
      <vt:lpstr>周</vt:lpstr>
      <vt:lpstr>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幸福元素</cp:lastModifiedBy>
  <dcterms:created xsi:type="dcterms:W3CDTF">2018-12-25T00:30:00Z</dcterms:created>
  <cp:lastPrinted>2025-01-07T12:04:00Z</cp:lastPrinted>
  <dcterms:modified xsi:type="dcterms:W3CDTF">2026-02-12T08:22:18Z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>
    <vt:lpwstr>1</vt:lpwstr>
  </property>
  <property fmtid="{D5CDD505-2E9C-101B-9397-08002B2CF9AE}" pid="3" name="KSOProductBuildVer">
    <vt:lpwstr>2052-12.1.0.25225</vt:lpwstr>
  </property>
  <property fmtid="{D5CDD505-2E9C-101B-9397-08002B2CF9AE}" pid="4" name="ICV">
    <vt:lpwstr>59346BEAFA5844A7AD17DC324ED1ADB5_12</vt:lpwstr>
  </property>
  <property fmtid="{D5CDD505-2E9C-101B-9397-08002B2CF9AE}" pid="5" name="CalculationRule">
    <vt:i4>0</vt:i4>
  </property>
</Properties>
</file>